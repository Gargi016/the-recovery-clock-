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autoCompressPictures="0" defaultThemeVersion="166925"/>
  <mc:AlternateContent xmlns:mc="http://schemas.openxmlformats.org/markup-compatibility/2006">
    <mc:Choice Requires="x15">
      <x15ac:absPath xmlns:x15ac="http://schemas.microsoft.com/office/spreadsheetml/2010/11/ac" url="/Users/SteveBackup/Documents B/CAR/CAR Articles:Books/ 100 Cases/Dryad Revision/"/>
    </mc:Choice>
  </mc:AlternateContent>
  <xr:revisionPtr revIDLastSave="0" documentId="13_ncr:1_{34DF3543-B244-F543-BDBC-6971438EF56E}" xr6:coauthVersionLast="47" xr6:coauthVersionMax="47" xr10:uidLastSave="{00000000-0000-0000-0000-000000000000}"/>
  <bookViews>
    <workbookView xWindow="320" yWindow="500" windowWidth="47920" windowHeight="27840" tabRatio="839" activeTab="3" xr2:uid="{00000000-000D-0000-FFFF-FFFF00000000}"/>
  </bookViews>
  <sheets>
    <sheet name="Data_030520" sheetId="54" r:id="rId1"/>
    <sheet name="Metric_Definitions" sheetId="5" r:id="rId2"/>
    <sheet name="Metric_Codes" sheetId="6" r:id="rId3"/>
    <sheet name="Countries" sheetId="2" r:id="rId4"/>
    <sheet name="Manual - Ai Comparison" sheetId="52" r:id="rId5"/>
  </sheets>
  <definedNames>
    <definedName name="_xlnm._FilterDatabase" localSheetId="0" hidden="1">Data_030520!$A$1:$BJ$104</definedName>
    <definedName name="_xlnm._FilterDatabase" localSheetId="2" hidden="1">Metric_Codes!$H$54:$I$54</definedName>
    <definedName name="adequacy">Metric_Codes!$C$45:$C$49</definedName>
    <definedName name="authority">Metric_Codes!$C$57:$C$60</definedName>
    <definedName name="confidence">Metric_Codes!$C$96:$C$98</definedName>
    <definedName name="decision">Metric_Codes!$C$69:$C$71</definedName>
    <definedName name="experience">Metric_Codes!$C$72:$C$76</definedName>
    <definedName name="ins_imp">#REF!</definedName>
    <definedName name="Insurance">Metric_Codes!$C$99:$C$103</definedName>
    <definedName name="Insurance_Role">Metric_Codes!$C$50:$C$52</definedName>
    <definedName name="Magnitude">Metric_Codes!$C$3:$C$7</definedName>
    <definedName name="participation">Metric_Codes!$C$66:$C$68</definedName>
    <definedName name="Preparedness">Metric_Codes!$C$61:$C$65</definedName>
    <definedName name="Primary">Metric_Codes!$C$50:$C$52</definedName>
    <definedName name="quality">Metric_Codes!$C$91:$C$95</definedName>
    <definedName name="Recovery_Insurance">Metric_Codes!$C$99:$C$103</definedName>
    <definedName name="resource_source">Metric_Codes!$C$34:$C$38</definedName>
    <definedName name="resource_speed">Metric_Codes!$C$39:$C$44</definedName>
    <definedName name="Scale">Metric_Codes!$C$8:$C$10</definedName>
    <definedName name="severity">Metric_Codes!$C$29:$C$33</definedName>
    <definedName name="speed">Metric_Codes!$C$82:$C$90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07" i="52" l="1"/>
  <c r="D107" i="52"/>
  <c r="E106" i="52"/>
  <c r="D106" i="52"/>
  <c r="E105" i="52"/>
  <c r="D105" i="52"/>
  <c r="BE104" i="54"/>
  <c r="BC104" i="54"/>
  <c r="AX104" i="54"/>
  <c r="BE103" i="54"/>
  <c r="BC103" i="54"/>
  <c r="AX103" i="54"/>
  <c r="BE102" i="54"/>
  <c r="BC102" i="54"/>
  <c r="AX102" i="54"/>
  <c r="BE101" i="54"/>
  <c r="BC101" i="54"/>
  <c r="BF101" i="54" s="1"/>
  <c r="AX101" i="54"/>
  <c r="BE100" i="54"/>
  <c r="BC100" i="54"/>
  <c r="AX100" i="54"/>
  <c r="BE99" i="54"/>
  <c r="BC99" i="54"/>
  <c r="AX99" i="54"/>
  <c r="BE98" i="54"/>
  <c r="BC98" i="54"/>
  <c r="AX98" i="54"/>
  <c r="BE97" i="54"/>
  <c r="BC97" i="54"/>
  <c r="AX97" i="54"/>
  <c r="BE96" i="54"/>
  <c r="BC96" i="54"/>
  <c r="AX96" i="54"/>
  <c r="BE95" i="54"/>
  <c r="BC95" i="54"/>
  <c r="AX95" i="54"/>
  <c r="BE94" i="54"/>
  <c r="BC94" i="54"/>
  <c r="AX94" i="54"/>
  <c r="BE93" i="54"/>
  <c r="BC93" i="54"/>
  <c r="AX93" i="54"/>
  <c r="BE92" i="54"/>
  <c r="BC92" i="54"/>
  <c r="AX92" i="54"/>
  <c r="BE91" i="54"/>
  <c r="BC91" i="54"/>
  <c r="AX91" i="54"/>
  <c r="BE90" i="54"/>
  <c r="BC90" i="54"/>
  <c r="AX90" i="54"/>
  <c r="BE89" i="54"/>
  <c r="BC89" i="54"/>
  <c r="AX89" i="54"/>
  <c r="BE88" i="54"/>
  <c r="BC88" i="54"/>
  <c r="AX88" i="54"/>
  <c r="BE87" i="54"/>
  <c r="BC87" i="54"/>
  <c r="AX87" i="54"/>
  <c r="BE86" i="54"/>
  <c r="BC86" i="54"/>
  <c r="AX86" i="54"/>
  <c r="BE85" i="54"/>
  <c r="BC85" i="54"/>
  <c r="AX85" i="54"/>
  <c r="BE84" i="54"/>
  <c r="BC84" i="54"/>
  <c r="AX84" i="54"/>
  <c r="BE83" i="54"/>
  <c r="BC83" i="54"/>
  <c r="AX83" i="54"/>
  <c r="BE82" i="54"/>
  <c r="BC82" i="54"/>
  <c r="AX82" i="54"/>
  <c r="AX81" i="54"/>
  <c r="BE80" i="54"/>
  <c r="BC80" i="54"/>
  <c r="AX80" i="54"/>
  <c r="BE79" i="54"/>
  <c r="BC79" i="54"/>
  <c r="AX79" i="54"/>
  <c r="BE78" i="54"/>
  <c r="BC78" i="54"/>
  <c r="AX78" i="54"/>
  <c r="BE77" i="54"/>
  <c r="BC77" i="54"/>
  <c r="AX77" i="54"/>
  <c r="BE76" i="54"/>
  <c r="BC76" i="54"/>
  <c r="AX76" i="54"/>
  <c r="BE75" i="54"/>
  <c r="BC75" i="54"/>
  <c r="AX75" i="54"/>
  <c r="BE74" i="54"/>
  <c r="BC74" i="54"/>
  <c r="AX74" i="54"/>
  <c r="BE73" i="54"/>
  <c r="BC73" i="54"/>
  <c r="AX73" i="54"/>
  <c r="BE72" i="54"/>
  <c r="BC72" i="54"/>
  <c r="AX72" i="54"/>
  <c r="BE71" i="54"/>
  <c r="BC71" i="54"/>
  <c r="AX71" i="54"/>
  <c r="BE70" i="54"/>
  <c r="BC70" i="54"/>
  <c r="AX70" i="54"/>
  <c r="BE69" i="54"/>
  <c r="BC69" i="54"/>
  <c r="AX69" i="54"/>
  <c r="BE67" i="54"/>
  <c r="BC67" i="54"/>
  <c r="AX67" i="54"/>
  <c r="BE66" i="54"/>
  <c r="BC66" i="54"/>
  <c r="AX66" i="54"/>
  <c r="BE65" i="54"/>
  <c r="BC65" i="54"/>
  <c r="AX65" i="54"/>
  <c r="BE64" i="54"/>
  <c r="BC64" i="54"/>
  <c r="AX64" i="54"/>
  <c r="BE63" i="54"/>
  <c r="BC63" i="54"/>
  <c r="AX63" i="54"/>
  <c r="BE62" i="54"/>
  <c r="BC62" i="54"/>
  <c r="AX62" i="54"/>
  <c r="BE61" i="54"/>
  <c r="BC61" i="54"/>
  <c r="AX61" i="54"/>
  <c r="BE60" i="54"/>
  <c r="BC60" i="54"/>
  <c r="AX60" i="54"/>
  <c r="BE59" i="54"/>
  <c r="BC59" i="54"/>
  <c r="BF59" i="54" s="1"/>
  <c r="AX59" i="54"/>
  <c r="BE58" i="54"/>
  <c r="BC58" i="54"/>
  <c r="AX58" i="54"/>
  <c r="BE57" i="54"/>
  <c r="BC57" i="54"/>
  <c r="AX57" i="54"/>
  <c r="BE56" i="54"/>
  <c r="BC56" i="54"/>
  <c r="AX56" i="54"/>
  <c r="BE55" i="54"/>
  <c r="BC55" i="54"/>
  <c r="AX55" i="54"/>
  <c r="BE54" i="54"/>
  <c r="BC54" i="54"/>
  <c r="AX54" i="54"/>
  <c r="BE53" i="54"/>
  <c r="BC53" i="54"/>
  <c r="AX53" i="54"/>
  <c r="BE52" i="54"/>
  <c r="BC52" i="54"/>
  <c r="AX52" i="54"/>
  <c r="BE51" i="54"/>
  <c r="BC51" i="54"/>
  <c r="BF51" i="54" s="1"/>
  <c r="AX51" i="54"/>
  <c r="BE50" i="54"/>
  <c r="BC50" i="54"/>
  <c r="AX50" i="54"/>
  <c r="BE49" i="54"/>
  <c r="BC49" i="54"/>
  <c r="AX49" i="54"/>
  <c r="BE48" i="54"/>
  <c r="BC48" i="54"/>
  <c r="AX48" i="54"/>
  <c r="BE47" i="54"/>
  <c r="BC47" i="54"/>
  <c r="AX47" i="54"/>
  <c r="BE46" i="54"/>
  <c r="BC46" i="54"/>
  <c r="AX46" i="54"/>
  <c r="BE45" i="54"/>
  <c r="BC45" i="54"/>
  <c r="AX45" i="54"/>
  <c r="BE44" i="54"/>
  <c r="BC44" i="54"/>
  <c r="AX44" i="54"/>
  <c r="BE43" i="54"/>
  <c r="BC43" i="54"/>
  <c r="BF43" i="54" s="1"/>
  <c r="AX43" i="54"/>
  <c r="BE42" i="54"/>
  <c r="BC42" i="54"/>
  <c r="AX42" i="54"/>
  <c r="BE41" i="54"/>
  <c r="BC41" i="54"/>
  <c r="AX41" i="54"/>
  <c r="BE40" i="54"/>
  <c r="BC40" i="54"/>
  <c r="AX40" i="54"/>
  <c r="BE39" i="54"/>
  <c r="BC39" i="54"/>
  <c r="AX39" i="54"/>
  <c r="BE38" i="54"/>
  <c r="BC38" i="54"/>
  <c r="AX38" i="54"/>
  <c r="BE37" i="54"/>
  <c r="BC37" i="54"/>
  <c r="AX37" i="54"/>
  <c r="BE36" i="54"/>
  <c r="BC36" i="54"/>
  <c r="AX36" i="54"/>
  <c r="BE35" i="54"/>
  <c r="BC35" i="54"/>
  <c r="BF35" i="54" s="1"/>
  <c r="AX35" i="54"/>
  <c r="BE34" i="54"/>
  <c r="BC34" i="54"/>
  <c r="AX34" i="54"/>
  <c r="BE33" i="54"/>
  <c r="BC33" i="54"/>
  <c r="AX33" i="54"/>
  <c r="BE32" i="54"/>
  <c r="BC32" i="54"/>
  <c r="AX32" i="54"/>
  <c r="BE31" i="54"/>
  <c r="BC31" i="54"/>
  <c r="AX31" i="54"/>
  <c r="BE30" i="54"/>
  <c r="BC30" i="54"/>
  <c r="AX30" i="54"/>
  <c r="BE29" i="54"/>
  <c r="BC29" i="54"/>
  <c r="AX29" i="54"/>
  <c r="BE28" i="54"/>
  <c r="BC28" i="54"/>
  <c r="AX28" i="54"/>
  <c r="BE27" i="54"/>
  <c r="BC27" i="54"/>
  <c r="BF27" i="54" s="1"/>
  <c r="AX27" i="54"/>
  <c r="BE26" i="54"/>
  <c r="BC26" i="54"/>
  <c r="AX26" i="54"/>
  <c r="BE25" i="54"/>
  <c r="BC25" i="54"/>
  <c r="AX25" i="54"/>
  <c r="BE24" i="54"/>
  <c r="BC24" i="54"/>
  <c r="AX24" i="54"/>
  <c r="BE23" i="54"/>
  <c r="BC23" i="54"/>
  <c r="AX23" i="54"/>
  <c r="BE22" i="54"/>
  <c r="BC22" i="54"/>
  <c r="AX22" i="54"/>
  <c r="BE21" i="54"/>
  <c r="BC21" i="54"/>
  <c r="AX21" i="54"/>
  <c r="BE20" i="54"/>
  <c r="BC20" i="54"/>
  <c r="AX20" i="54"/>
  <c r="BE19" i="54"/>
  <c r="BC19" i="54"/>
  <c r="BF19" i="54" s="1"/>
  <c r="AX19" i="54"/>
  <c r="BE18" i="54"/>
  <c r="BC18" i="54"/>
  <c r="AX18" i="54"/>
  <c r="BE17" i="54"/>
  <c r="BC17" i="54"/>
  <c r="AX17" i="54"/>
  <c r="BE16" i="54"/>
  <c r="BC16" i="54"/>
  <c r="AX16" i="54"/>
  <c r="BE15" i="54"/>
  <c r="BC15" i="54"/>
  <c r="AX15" i="54"/>
  <c r="BE14" i="54"/>
  <c r="BC14" i="54"/>
  <c r="AX14" i="54"/>
  <c r="BE13" i="54"/>
  <c r="BC13" i="54"/>
  <c r="AX13" i="54"/>
  <c r="BE12" i="54"/>
  <c r="BC12" i="54"/>
  <c r="AX12" i="54"/>
  <c r="BE11" i="54"/>
  <c r="BC11" i="54"/>
  <c r="BF11" i="54" s="1"/>
  <c r="AX11" i="54"/>
  <c r="BE10" i="54"/>
  <c r="BC10" i="54"/>
  <c r="AX10" i="54"/>
  <c r="BE9" i="54"/>
  <c r="BC9" i="54"/>
  <c r="AX9" i="54"/>
  <c r="BE8" i="54"/>
  <c r="BC8" i="54"/>
  <c r="AX8" i="54"/>
  <c r="BE7" i="54"/>
  <c r="BC7" i="54"/>
  <c r="AX7" i="54"/>
  <c r="BE6" i="54"/>
  <c r="BC6" i="54"/>
  <c r="AX6" i="54"/>
  <c r="BE5" i="54"/>
  <c r="BC5" i="54"/>
  <c r="AX5" i="54"/>
  <c r="BE4" i="54"/>
  <c r="BC4" i="54"/>
  <c r="AX4" i="54"/>
  <c r="BE3" i="54"/>
  <c r="BC3" i="54"/>
  <c r="BF3" i="54" s="1"/>
  <c r="AX3" i="54"/>
  <c r="BE2" i="54"/>
  <c r="BC2" i="54"/>
  <c r="AX2" i="54"/>
  <c r="K53" i="52"/>
  <c r="K39" i="52"/>
  <c r="K4" i="52"/>
  <c r="K55" i="52"/>
  <c r="K26" i="52"/>
  <c r="K81" i="52"/>
  <c r="J8" i="52"/>
  <c r="K8" i="52" s="1"/>
  <c r="J10" i="52"/>
  <c r="K10" i="52" s="1"/>
  <c r="J13" i="52"/>
  <c r="K13" i="52" s="1"/>
  <c r="J15" i="52"/>
  <c r="K15" i="52" s="1"/>
  <c r="J73" i="52"/>
  <c r="K73" i="52" s="1"/>
  <c r="J7" i="52"/>
  <c r="K7" i="52" s="1"/>
  <c r="J11" i="52"/>
  <c r="K11" i="52" s="1"/>
  <c r="J14" i="52"/>
  <c r="K14" i="52" s="1"/>
  <c r="J33" i="52"/>
  <c r="K33" i="52" s="1"/>
  <c r="J48" i="52"/>
  <c r="K48" i="52" s="1"/>
  <c r="J55" i="52"/>
  <c r="J59" i="52"/>
  <c r="K59" i="52" s="1"/>
  <c r="J60" i="52"/>
  <c r="K60" i="52" s="1"/>
  <c r="J71" i="52"/>
  <c r="K71" i="52" s="1"/>
  <c r="J44" i="52"/>
  <c r="K44" i="52" s="1"/>
  <c r="J47" i="52"/>
  <c r="K47" i="52" s="1"/>
  <c r="J30" i="52"/>
  <c r="K30" i="52" s="1"/>
  <c r="J83" i="52"/>
  <c r="K83" i="52" s="1"/>
  <c r="J2" i="52"/>
  <c r="K2" i="52" s="1"/>
  <c r="J63" i="52"/>
  <c r="K63" i="52" s="1"/>
  <c r="J64" i="52"/>
  <c r="K64" i="52" s="1"/>
  <c r="J66" i="52"/>
  <c r="K66" i="52" s="1"/>
  <c r="J67" i="52"/>
  <c r="K67" i="52" s="1"/>
  <c r="J52" i="52"/>
  <c r="K52" i="52" s="1"/>
  <c r="J24" i="52"/>
  <c r="K24" i="52" s="1"/>
  <c r="J34" i="52"/>
  <c r="K34" i="52" s="1"/>
  <c r="J36" i="52"/>
  <c r="K36" i="52" s="1"/>
  <c r="J38" i="52"/>
  <c r="K38" i="52" s="1"/>
  <c r="J49" i="52"/>
  <c r="K49" i="52" s="1"/>
  <c r="J50" i="52"/>
  <c r="K50" i="52" s="1"/>
  <c r="J57" i="52"/>
  <c r="K57" i="52" s="1"/>
  <c r="J62" i="52"/>
  <c r="K62" i="52" s="1"/>
  <c r="J72" i="52"/>
  <c r="K72" i="52" s="1"/>
  <c r="J3" i="52"/>
  <c r="J26" i="52"/>
  <c r="J32" i="52"/>
  <c r="K32" i="52" s="1"/>
  <c r="J42" i="52"/>
  <c r="K42" i="52" s="1"/>
  <c r="J51" i="52"/>
  <c r="K51" i="52" s="1"/>
  <c r="J58" i="52"/>
  <c r="K58" i="52" s="1"/>
  <c r="J89" i="52"/>
  <c r="K89" i="52" s="1"/>
  <c r="J20" i="52"/>
  <c r="K20" i="52" s="1"/>
  <c r="J98" i="52"/>
  <c r="K98" i="52" s="1"/>
  <c r="J5" i="52"/>
  <c r="K5" i="52" s="1"/>
  <c r="J39" i="52"/>
  <c r="J54" i="52"/>
  <c r="K54" i="52" s="1"/>
  <c r="J65" i="52"/>
  <c r="K65" i="52" s="1"/>
  <c r="J81" i="52"/>
  <c r="J68" i="52"/>
  <c r="K68" i="52" s="1"/>
  <c r="J46" i="52"/>
  <c r="K46" i="52" s="1"/>
  <c r="J6" i="52"/>
  <c r="K6" i="52" s="1"/>
  <c r="J21" i="52"/>
  <c r="K21" i="52" s="1"/>
  <c r="J28" i="52"/>
  <c r="K28" i="52" s="1"/>
  <c r="J101" i="52"/>
  <c r="K101" i="52" s="1"/>
  <c r="J102" i="52"/>
  <c r="K102" i="52" s="1"/>
  <c r="J97" i="52"/>
  <c r="K97" i="52" s="1"/>
  <c r="J19" i="52"/>
  <c r="K19" i="52" s="1"/>
  <c r="J35" i="52"/>
  <c r="K35" i="52" s="1"/>
  <c r="J43" i="52"/>
  <c r="K43" i="52" s="1"/>
  <c r="J53" i="52"/>
  <c r="J92" i="52"/>
  <c r="K92" i="52" s="1"/>
  <c r="J87" i="52"/>
  <c r="K87" i="52" s="1"/>
  <c r="J22" i="52"/>
  <c r="K22" i="52" s="1"/>
  <c r="J56" i="52"/>
  <c r="K56" i="52" s="1"/>
  <c r="J90" i="52"/>
  <c r="K90" i="52" s="1"/>
  <c r="J94" i="52"/>
  <c r="K94" i="52" s="1"/>
  <c r="J100" i="52"/>
  <c r="K100" i="52" s="1"/>
  <c r="J103" i="52"/>
  <c r="K103" i="52" s="1"/>
  <c r="J104" i="52"/>
  <c r="K104" i="52" s="1"/>
  <c r="J25" i="52"/>
  <c r="K25" i="52" s="1"/>
  <c r="J77" i="52"/>
  <c r="K77" i="52" s="1"/>
  <c r="J80" i="52"/>
  <c r="K80" i="52" s="1"/>
  <c r="J96" i="52"/>
  <c r="K96" i="52" s="1"/>
  <c r="J40" i="52"/>
  <c r="K40" i="52" s="1"/>
  <c r="J61" i="52"/>
  <c r="K61" i="52" s="1"/>
  <c r="J4" i="52"/>
  <c r="J88" i="52"/>
  <c r="K88" i="52" s="1"/>
  <c r="J86" i="52"/>
  <c r="K86" i="52" s="1"/>
  <c r="J12" i="52"/>
  <c r="K12" i="52" s="1"/>
  <c r="J70" i="52"/>
  <c r="K70" i="52" s="1"/>
  <c r="J91" i="52"/>
  <c r="K91" i="52" s="1"/>
  <c r="J95" i="52"/>
  <c r="K95" i="52" s="1"/>
  <c r="J99" i="52"/>
  <c r="K99" i="52" s="1"/>
  <c r="J16" i="52"/>
  <c r="K16" i="52" s="1"/>
  <c r="J79" i="52"/>
  <c r="K79" i="52" s="1"/>
  <c r="J41" i="52"/>
  <c r="K41" i="52" s="1"/>
  <c r="J37" i="52"/>
  <c r="K37" i="52" s="1"/>
  <c r="J29" i="52"/>
  <c r="K29" i="52" s="1"/>
  <c r="J31" i="52"/>
  <c r="K31" i="52" s="1"/>
  <c r="J84" i="52"/>
  <c r="K84" i="52" s="1"/>
  <c r="J17" i="52"/>
  <c r="K17" i="52" s="1"/>
  <c r="J69" i="52"/>
  <c r="K69" i="52" s="1"/>
  <c r="J74" i="52"/>
  <c r="K74" i="52" s="1"/>
  <c r="J93" i="52"/>
  <c r="K93" i="52" s="1"/>
  <c r="J18" i="52"/>
  <c r="K18" i="52" s="1"/>
  <c r="J45" i="52"/>
  <c r="K45" i="52" s="1"/>
  <c r="J78" i="52"/>
  <c r="K78" i="52" s="1"/>
  <c r="J23" i="52"/>
  <c r="K23" i="52" s="1"/>
  <c r="J75" i="52"/>
  <c r="K75" i="52" s="1"/>
  <c r="J82" i="52"/>
  <c r="K82" i="52" s="1"/>
  <c r="J27" i="52"/>
  <c r="K27" i="52" s="1"/>
  <c r="J76" i="52"/>
  <c r="K76" i="52" s="1"/>
  <c r="J85" i="52"/>
  <c r="K85" i="52" s="1"/>
  <c r="J9" i="52"/>
  <c r="K9" i="52" s="1"/>
  <c r="BF88" i="54" l="1"/>
  <c r="BF96" i="54"/>
  <c r="BF9" i="54"/>
  <c r="BF17" i="54"/>
  <c r="BF25" i="54"/>
  <c r="BF33" i="54"/>
  <c r="BF41" i="54"/>
  <c r="BF49" i="54"/>
  <c r="BF57" i="54"/>
  <c r="BF72" i="54"/>
  <c r="BF80" i="54"/>
  <c r="BF82" i="54"/>
  <c r="BF90" i="54"/>
  <c r="BF67" i="54"/>
  <c r="BF74" i="54"/>
  <c r="BF5" i="54"/>
  <c r="BF13" i="54"/>
  <c r="BF21" i="54"/>
  <c r="BF29" i="54"/>
  <c r="BF37" i="54"/>
  <c r="BF76" i="54"/>
  <c r="BF104" i="54"/>
  <c r="BF85" i="54"/>
  <c r="BF93" i="54"/>
  <c r="BF98" i="54"/>
  <c r="BF45" i="54"/>
  <c r="BF53" i="54"/>
  <c r="BF61" i="54"/>
  <c r="BF2" i="54"/>
  <c r="BF10" i="54"/>
  <c r="BF66" i="54"/>
  <c r="BF86" i="54"/>
  <c r="BF94" i="54"/>
  <c r="BF102" i="54"/>
  <c r="BF65" i="54"/>
  <c r="BF70" i="54"/>
  <c r="BF78" i="54"/>
  <c r="BF84" i="54"/>
  <c r="BF92" i="54"/>
  <c r="BF100" i="54"/>
  <c r="BF48" i="54"/>
  <c r="BF56" i="54"/>
  <c r="BF64" i="54"/>
  <c r="BF69" i="54"/>
  <c r="BF83" i="54"/>
  <c r="BF91" i="54"/>
  <c r="BF99" i="54"/>
  <c r="BF7" i="54"/>
  <c r="BF15" i="54"/>
  <c r="BF6" i="54"/>
  <c r="BF14" i="54"/>
  <c r="BF22" i="54"/>
  <c r="BF30" i="54"/>
  <c r="BF38" i="54"/>
  <c r="BF46" i="54"/>
  <c r="BF54" i="54"/>
  <c r="BF62" i="54"/>
  <c r="BF75" i="54"/>
  <c r="BF89" i="54"/>
  <c r="BF97" i="54"/>
  <c r="BF18" i="54"/>
  <c r="BF26" i="54"/>
  <c r="BF34" i="54"/>
  <c r="BF42" i="54"/>
  <c r="BF50" i="54"/>
  <c r="BF58" i="54"/>
  <c r="BF8" i="54"/>
  <c r="BF16" i="54"/>
  <c r="BF77" i="54"/>
  <c r="BF4" i="54"/>
  <c r="BF12" i="54"/>
  <c r="BF20" i="54"/>
  <c r="BF28" i="54"/>
  <c r="BF36" i="54"/>
  <c r="BF44" i="54"/>
  <c r="BF52" i="54"/>
  <c r="BF60" i="54"/>
  <c r="BF73" i="54"/>
  <c r="BF24" i="54"/>
  <c r="BF32" i="54"/>
  <c r="BF40" i="54"/>
  <c r="BF23" i="54"/>
  <c r="BF31" i="54"/>
  <c r="BF39" i="54"/>
  <c r="BF47" i="54"/>
  <c r="BF55" i="54"/>
  <c r="BF63" i="54"/>
  <c r="BF71" i="54"/>
  <c r="BF79" i="54"/>
  <c r="BF87" i="54"/>
  <c r="BF95" i="54"/>
  <c r="BF103" i="54"/>
  <c r="K107" i="52"/>
  <c r="K3" i="52"/>
  <c r="K106" i="52" s="1"/>
  <c r="A25" i="6"/>
  <c r="A11" i="6"/>
  <c r="A61" i="6"/>
  <c r="A8" i="6"/>
  <c r="A3" i="6"/>
  <c r="A66" i="6"/>
  <c r="A57" i="6"/>
  <c r="A50" i="6"/>
  <c r="A45" i="6"/>
  <c r="A39" i="6"/>
  <c r="A34" i="6"/>
  <c r="A29" i="6"/>
  <c r="A72" i="6"/>
  <c r="A69" i="6"/>
  <c r="K105" i="5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tc={B0D07FC4-B1FD-784A-BBBF-8244C4CC1C12}</author>
    <author>tc={DF7E8F36-3FEE-BB45-8920-F975DF2E1EE0}</author>
    <author>tc={2285B3C0-C80F-3241-ACEE-EB9D463D8F3C}</author>
    <author>tc={18E96579-F6E0-C141-80B9-340E0B95B695}</author>
    <author>tc={D647C1B3-9493-9144-A27F-A4B6B3D10F84}</author>
    <author>tc={09B77B60-FE26-A740-A016-4D0363D57D58}</author>
    <author>tc={D4A57736-8DE4-3747-9375-A70B457E9F17}</author>
    <author>tc={D183F1C5-BE41-AF49-A191-7107D81028FE}</author>
    <author>tc={B102EE3F-FD45-D040-906F-E63B34599F09}</author>
    <author>tc={79A01073-773A-7D49-A877-4B5993E294E7}</author>
    <author>tc={9038FB2A-F2B6-8442-9DE4-D7D8847B0695}</author>
    <author>tc={95676B34-D4FA-6648-9AF3-1F8CECF5EF71}</author>
    <author>tc={A75F63FC-A8F5-604C-95F8-D73EE1E30A2D}</author>
    <author>tc={62998C9D-8C85-564E-A573-0BF9DB34AB88}</author>
    <author>tc={02D6D3A5-61FD-6B49-8761-513382429B7D}</author>
    <author>tc={05CC024A-84C3-A646-AB1C-A9CFA7323684}</author>
  </authors>
  <commentList>
    <comment ref="AI11" authorId="0" shapeId="0" xr:uid="{B0D07FC4-B1FD-784A-BBBF-8244C4CC1C12}">
      <text>
        <t>[Threaded comment]
Your version of Excel allows you to read this threaded comment; however, any edits to it will get removed if the file is opened in a newer version of Excel. Learn more: https://go.microsoft.com/fwlink/?linkid=870924
Comment:
    https://www.artemis.bm/news/38bn-china-flood-impact-just-596m-or-1-5-insured-aon-benfield/</t>
      </text>
    </comment>
    <comment ref="AI12" authorId="1" shapeId="0" xr:uid="{DF7E8F36-3FEE-BB45-8920-F975DF2E1EE0}">
      <text>
        <t>[Threaded comment]
Your version of Excel allows you to read this threaded comment; however, any edits to it will get removed if the file is opened in a newer version of Excel. Learn more: https://go.microsoft.com/fwlink/?linkid=870924
Comment:
    https://reliefweb.int/report/honduras/debt-disaster-what-happened-honduras-after-hurricane-mitch</t>
      </text>
    </comment>
    <comment ref="AI25" authorId="2" shapeId="0" xr:uid="{2285B3C0-C80F-3241-ACEE-EB9D463D8F3C}">
      <text>
        <t>[Threaded comment]
Your version of Excel allows you to read this threaded comment; however, any edits to it will get removed if the file is opened in a newer version of Excel. Learn more: https://go.microsoft.com/fwlink/?linkid=870924
Comment:
    http://thoughtleadership.aonbenfield.com/documents/201509-nepal-earthquake.pdf
Reply:
    100M in Nepal India and Bangladesh - assumed 50%</t>
      </text>
    </comment>
    <comment ref="AI27" authorId="3" shapeId="0" xr:uid="{18E96579-F6E0-C141-80B9-340E0B95B695}">
      <text>
        <t>[Threaded comment]
Your version of Excel allows you to read this threaded comment; however, any edits to it will get removed if the file is opened in a newer version of Excel. Learn more: https://go.microsoft.com/fwlink/?linkid=870924
Comment:
    http://documents.worldbank.org/curated/en/412761468189235456/pdf/98009-WP-Box391499B-PUBLIC-PCG-Country-Note-Haiti-092213.pdf</t>
      </text>
    </comment>
    <comment ref="AI44" authorId="4" shapeId="0" xr:uid="{D647C1B3-9493-9144-A27F-A4B6B3D10F84}">
      <text>
        <t>[Threaded comment]
Your version of Excel allows you to read this threaded comment; however, any edits to it will get removed if the file is opened in a newer version of Excel. Learn more: https://go.microsoft.com/fwlink/?linkid=870924
Comment:
    https://www.fema.gov/media-library-data/20130726-1515-20490-1306/voices_anthology.pdf</t>
      </text>
    </comment>
    <comment ref="AI47" authorId="5" shapeId="0" xr:uid="{09B77B60-FE26-A740-A016-4D0363D57D58}">
      <text>
        <t>[Threaded comment]
Your version of Excel allows you to read this threaded comment; however, any edits to it will get removed if the file is opened in a newer version of Excel. Learn more: https://go.microsoft.com/fwlink/?linkid=870924
Comment:
    https://www.smh.com.au/business/queensland-flood-claims-reach-1-5b-20110131-1abag.html</t>
      </text>
    </comment>
    <comment ref="AI49" authorId="6" shapeId="0" xr:uid="{D4A57736-8DE4-3747-9375-A70B457E9F17}">
      <text>
        <t>[Threaded comment]
Your version of Excel allows you to read this threaded comment; however, any edits to it will get removed if the file is opened in a newer version of Excel. Learn more: https://go.microsoft.com/fwlink/?linkid=870924
Comment:
    https://www.gfdrr.org/sites/default/files/publication/Options-for-Disaster-Risk-Financing-in-Brazil-English.pdf</t>
      </text>
    </comment>
    <comment ref="AI58" authorId="7" shapeId="0" xr:uid="{D183F1C5-BE41-AF49-A191-7107D81028FE}">
      <text>
        <t>[Threaded comment]
Your version of Excel allows you to read this threaded comment; however, any edits to it will get removed if the file is opened in a newer version of Excel. Learn more: https://go.microsoft.com/fwlink/?linkid=870924
Comment:
    https://www.insurancejournal.com/news/southeast/2009/09/22/103951.htm</t>
      </text>
    </comment>
    <comment ref="AI62" authorId="8" shapeId="0" xr:uid="{B102EE3F-FD45-D040-906F-E63B34599F09}">
      <text>
        <t>[Threaded comment]
Your version of Excel allows you to read this threaded comment; however, any edits to it will get removed if the file is opened in a newer version of Excel. Learn more: https://go.microsoft.com/fwlink/?linkid=870924
Comment:
    https://www.iii.org/article/hurricane-andrew-fact-sheet</t>
      </text>
    </comment>
    <comment ref="AI65" authorId="9" shapeId="0" xr:uid="{79A01073-773A-7D49-A877-4B5993E294E7}">
      <text>
        <t>[Threaded comment]
Your version of Excel allows you to read this threaded comment; however, any edits to it will get removed if the file is opened in a newer version of Excel. Learn more: https://go.microsoft.com/fwlink/?linkid=870924
Comment:
    https://www.swissre.com/dam/jcr:6be9b547-5cf9-45be-9677-c6b2ba8d11c3/3fda34004659aeef93e2f3c4784123a1-09%20Dec%201999_Natural%20catastrophes.pdf</t>
      </text>
    </comment>
    <comment ref="AI67" authorId="10" shapeId="0" xr:uid="{9038FB2A-F2B6-8442-9DE4-D7D8847B0695}">
      <text>
        <t>[Threaded comment]
Your version of Excel allows you to read this threaded comment; however, any edits to it will get removed if the file is opened in a newer version of Excel. Learn more: https://go.microsoft.com/fwlink/?linkid=870924
Comment:
    https://www.air-worldwide.com/publications/air-currents/looking-back-looking-forward-anatol-lothar-and-martin-ten-years-later/</t>
      </text>
    </comment>
    <comment ref="AI72" authorId="11" shapeId="0" xr:uid="{95676B34-D4FA-6648-9AF3-1F8CECF5EF71}">
      <text>
        <t>[Threaded comment]
Your version of Excel allows you to read this threaded comment; however, any edits to it will get removed if the file is opened in a newer version of Excel. Learn more: https://go.microsoft.com/fwlink/?linkid=870924
Comment:
    https://www.gccapitalideas.com/2019/01/08/taiwan-catastrophe-insurance-and-gap-in-coverage/?utm_source=slipcase&amp;utm_medium=affiliate&amp;utm_campaign=slipcase</t>
      </text>
    </comment>
    <comment ref="AI85" authorId="12" shapeId="0" xr:uid="{A75F63FC-A8F5-604C-95F8-D73EE1E30A2D}">
      <text>
        <t>[Threaded comment]
Your version of Excel allows you to read this threaded comment; however, any edits to it will get removed if the file is opened in a newer version of Excel. Learn more: https://go.microsoft.com/fwlink/?linkid=870924
Comment:
    file:///C:/Users/OliverCarpenter/Downloads/EarthquakeInsuranceandEarthquakeRiskManagement.pdf
insurance industry not active in this period</t>
      </text>
    </comment>
    <comment ref="AI90" authorId="13" shapeId="0" xr:uid="{62998C9D-8C85-564E-A573-0BF9DB34AB88}">
      <text>
        <t>[Threaded comment]
Your version of Excel allows you to read this threaded comment; however, any edits to it will get removed if the file is opened in a newer version of Excel. Learn more: https://go.microsoft.com/fwlink/?linkid=870924
Comment:
    https://www.eeri.org/site/images/lfe/pdf/algeria_20030521.pdf
non existent</t>
      </text>
    </comment>
    <comment ref="AI98" authorId="14" shapeId="0" xr:uid="{02D6D3A5-61FD-6B49-8761-513382429B7D}">
      <text>
        <t>[Threaded comment]
Your version of Excel allows you to read this threaded comment; however, any edits to it will get removed if the file is opened in a newer version of Excel. Learn more: https://go.microsoft.com/fwlink/?linkid=870924
Comment:
    https://www.iii.org/sites/default/files/docs/pdf/Japan-0315112.pdf</t>
      </text>
    </comment>
    <comment ref="AI102" authorId="15" shapeId="0" xr:uid="{05CC024A-84C3-A646-AB1C-A9CFA7323684}">
      <text>
        <t>[Threaded comment]
Your version of Excel allows you to read this threaded comment; however, any edits to it will get removed if the file is opened in a newer version of Excel. Learn more: https://go.microsoft.com/fwlink/?linkid=870924
Comment:
    http://documents.worldbank.org/curated/en/640541468100735571/pdf/949830WP0P13240Note0Solomon0Islands.pdf</t>
      </text>
    </comment>
  </commentList>
</comments>
</file>

<file path=xl/sharedStrings.xml><?xml version="1.0" encoding="utf-8"?>
<sst xmlns="http://schemas.openxmlformats.org/spreadsheetml/2006/main" count="6976" uniqueCount="1569">
  <si>
    <t>-</t>
  </si>
  <si>
    <t xml:space="preserve">60-80% </t>
  </si>
  <si>
    <t>Mostly external</t>
  </si>
  <si>
    <t>&gt;12 Months</t>
  </si>
  <si>
    <t>Insufficient</t>
  </si>
  <si>
    <t>Central gov.</t>
  </si>
  <si>
    <t>Inadequate</t>
  </si>
  <si>
    <t>Same</t>
  </si>
  <si>
    <t>Sufficient</t>
  </si>
  <si>
    <t>Adequate</t>
  </si>
  <si>
    <t>3-5 Years</t>
  </si>
  <si>
    <t>Improved</t>
  </si>
  <si>
    <t>Mostly self-funded</t>
  </si>
  <si>
    <t>&lt;6 Months</t>
  </si>
  <si>
    <t xml:space="preserve">80-100% </t>
  </si>
  <si>
    <t>External</t>
  </si>
  <si>
    <t>&lt;12 Months</t>
  </si>
  <si>
    <t>Specially-formed agency</t>
  </si>
  <si>
    <t>Self-funded</t>
  </si>
  <si>
    <t xml:space="preserve">0-20% </t>
  </si>
  <si>
    <t>Equal</t>
  </si>
  <si>
    <t>&lt;1 Month</t>
  </si>
  <si>
    <t>1-2 Years</t>
  </si>
  <si>
    <t>&gt;24 Months</t>
  </si>
  <si>
    <t>Totally insufficient</t>
  </si>
  <si>
    <t>Surplus</t>
  </si>
  <si>
    <t>Code</t>
  </si>
  <si>
    <t>Region</t>
  </si>
  <si>
    <t>Income group</t>
  </si>
  <si>
    <t>Afghanistan</t>
  </si>
  <si>
    <t>AFG</t>
  </si>
  <si>
    <t>South Asia</t>
  </si>
  <si>
    <t>Low</t>
  </si>
  <si>
    <t/>
  </si>
  <si>
    <t>Albania</t>
  </si>
  <si>
    <t>ALB</t>
  </si>
  <si>
    <t>Europe &amp; Central Asia</t>
  </si>
  <si>
    <t>Upper middle</t>
  </si>
  <si>
    <t>Algeria</t>
  </si>
  <si>
    <t>DZA</t>
  </si>
  <si>
    <t>Middle East &amp; North Africa</t>
  </si>
  <si>
    <t>F: Industry with Service (Industry and Service both 33-50%)</t>
  </si>
  <si>
    <t>American Samoa</t>
  </si>
  <si>
    <t>ASM</t>
  </si>
  <si>
    <t>East Asia &amp; Pacific</t>
  </si>
  <si>
    <t>Andorra</t>
  </si>
  <si>
    <t>AND</t>
  </si>
  <si>
    <t>High</t>
  </si>
  <si>
    <t>Angola</t>
  </si>
  <si>
    <t>AGO</t>
  </si>
  <si>
    <t>Sub-Saharan Africa</t>
  </si>
  <si>
    <t>Lower middle</t>
  </si>
  <si>
    <t>Antigua and Barbuda</t>
  </si>
  <si>
    <t>ATG</t>
  </si>
  <si>
    <t>Latin America &amp; Caribbean</t>
  </si>
  <si>
    <t>Argentina</t>
  </si>
  <si>
    <t>ARG</t>
  </si>
  <si>
    <t>C: Service with Industry (service 50-67% and Industry &gt;25%)</t>
  </si>
  <si>
    <t>Armenia</t>
  </si>
  <si>
    <t>ARM</t>
  </si>
  <si>
    <t>Aruba</t>
  </si>
  <si>
    <t>ABW</t>
  </si>
  <si>
    <t>Australia</t>
  </si>
  <si>
    <t>AUS</t>
  </si>
  <si>
    <t>A: Service-Dominated Economy (more than 75% of economy based on services)</t>
  </si>
  <si>
    <t>Austria</t>
  </si>
  <si>
    <t>AUT</t>
  </si>
  <si>
    <t>B: Service-Oriented Economy (67-75% of economy based on services)</t>
  </si>
  <si>
    <t>Azerbaijan</t>
  </si>
  <si>
    <t>AZE</t>
  </si>
  <si>
    <t>Bahamas, The</t>
  </si>
  <si>
    <t>BHS</t>
  </si>
  <si>
    <t>Bahrain</t>
  </si>
  <si>
    <t>BHR</t>
  </si>
  <si>
    <t>Bangladesh</t>
  </si>
  <si>
    <t>BGD</t>
  </si>
  <si>
    <t>Barbados</t>
  </si>
  <si>
    <t>BRB</t>
  </si>
  <si>
    <t>Belarus</t>
  </si>
  <si>
    <t>BLR</t>
  </si>
  <si>
    <t>Belgium</t>
  </si>
  <si>
    <t>BEL</t>
  </si>
  <si>
    <t>Belize</t>
  </si>
  <si>
    <t>BLZ</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</si>
  <si>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</si>
  <si>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</si>
  <si>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</si>
  <si>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</si>
  <si>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</si>
  <si>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</si>
  <si>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</si>
  <si>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</si>
  <si>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</si>
  <si>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</si>
  <si>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</si>
  <si>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</si>
  <si>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</si>
  <si>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</si>
  <si>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</si>
  <si>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</si>
  <si>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</si>
  <si>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</si>
  <si>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</si>
  <si>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</si>
  <si>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</si>
  <si>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</si>
  <si>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</si>
  <si>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</si>
  <si>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</si>
  <si>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</si>
  <si>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</si>
  <si>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</si>
  <si>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</si>
  <si>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</si>
  <si>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</si>
  <si>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</si>
  <si>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</si>
  <si>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</si>
  <si>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</si>
  <si>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</si>
  <si>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</si>
  <si>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</si>
  <si>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</si>
  <si>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</si>
  <si>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</si>
  <si>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</si>
  <si>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</si>
  <si>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</si>
  <si>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</si>
  <si>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</si>
  <si>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</si>
  <si>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</si>
  <si>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</si>
  <si>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</si>
  <si>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</si>
  <si>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</si>
  <si>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</si>
  <si>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</si>
  <si>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</si>
  <si>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</si>
  <si>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</si>
  <si>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</si>
  <si>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</si>
  <si>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</si>
  <si>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</si>
  <si>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</si>
  <si>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</si>
  <si>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</si>
  <si>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</si>
  <si>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Sectoral GDP missing/incomplete</t>
  </si>
  <si>
    <t>Czech Republic</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</si>
  <si>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</si>
  <si>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</si>
  <si>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</si>
  <si>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</si>
  <si>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</si>
  <si>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</si>
  <si>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</si>
  <si>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</si>
  <si>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</si>
  <si>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</si>
  <si>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</si>
  <si>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</si>
  <si>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</si>
  <si>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</si>
  <si>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</si>
  <si>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</si>
  <si>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</si>
  <si>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</si>
  <si>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</si>
  <si>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</si>
  <si>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</si>
  <si>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</si>
  <si>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</si>
  <si>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</si>
  <si>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</si>
  <si>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</si>
  <si>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</si>
  <si>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</si>
  <si>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</si>
  <si>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</si>
  <si>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</si>
  <si>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</si>
  <si>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</si>
  <si>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</si>
  <si>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</si>
  <si>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</si>
  <si>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</si>
  <si>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</si>
  <si>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</si>
  <si>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</si>
  <si>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</si>
  <si>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</si>
  <si>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</si>
  <si>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</si>
  <si>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</si>
  <si>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</si>
  <si>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</si>
  <si>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</si>
  <si>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</si>
  <si>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</si>
  <si>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</si>
  <si>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</si>
  <si>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</si>
  <si>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</si>
  <si>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</si>
  <si>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</si>
  <si>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</si>
  <si>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</si>
  <si>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</si>
  <si>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</si>
  <si>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</si>
  <si>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</si>
  <si>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</si>
  <si>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</si>
  <si>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</si>
  <si>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</si>
  <si>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</si>
  <si>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</si>
  <si>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</si>
  <si>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</si>
  <si>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</si>
  <si>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</si>
  <si>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</si>
  <si>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</si>
  <si>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</si>
  <si>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</si>
  <si>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</si>
  <si>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</si>
  <si>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</si>
  <si>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</si>
  <si>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</si>
  <si>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</si>
  <si>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</si>
  <si>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</si>
  <si>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</si>
  <si>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</si>
  <si>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</si>
  <si>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</si>
  <si>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</si>
  <si>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</si>
  <si>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</si>
  <si>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</si>
  <si>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</si>
  <si>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</si>
  <si>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</si>
  <si>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</si>
  <si>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</si>
  <si>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D: Service with Industrial/Ag Mix (Service &gt;50%, Industry 15-25% and Ag 15-30%)</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</si>
  <si>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</si>
  <si>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</si>
  <si>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</si>
  <si>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</si>
  <si>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</si>
  <si>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</si>
  <si>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</si>
  <si>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</si>
  <si>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</si>
  <si>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</si>
  <si>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</si>
  <si>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</si>
  <si>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</si>
  <si>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</si>
  <si>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</si>
  <si>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</si>
  <si>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</si>
  <si>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</si>
  <si>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</si>
  <si>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</si>
  <si>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</si>
  <si>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</si>
  <si>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</si>
  <si>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</si>
  <si>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</si>
  <si>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</si>
  <si>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</si>
  <si>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</si>
  <si>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</si>
  <si>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</si>
  <si>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</si>
  <si>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</si>
  <si>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Macedonia, FYR</t>
  </si>
  <si>
    <t>MKD</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</si>
  <si>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</si>
  <si>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</si>
  <si>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</si>
  <si>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</si>
  <si>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</si>
  <si>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</si>
  <si>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</si>
  <si>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</si>
  <si>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</si>
  <si>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</si>
  <si>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</si>
  <si>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</si>
  <si>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</si>
  <si>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</si>
  <si>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</si>
  <si>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</si>
  <si>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</si>
  <si>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</si>
  <si>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</si>
  <si>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</si>
  <si>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</si>
  <si>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</si>
  <si>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</si>
  <si>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</si>
  <si>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</si>
  <si>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</si>
  <si>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</si>
  <si>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</si>
  <si>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</si>
  <si>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</si>
  <si>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</si>
  <si>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</si>
  <si>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</si>
  <si>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</si>
  <si>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</si>
  <si>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</si>
  <si>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</si>
  <si>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</si>
  <si>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</si>
  <si>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</si>
  <si>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</si>
  <si>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</si>
  <si>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</si>
  <si>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</si>
  <si>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</si>
  <si>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</si>
  <si>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</si>
  <si>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</si>
  <si>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</si>
  <si>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</si>
  <si>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</si>
  <si>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</si>
  <si>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</si>
  <si>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</si>
  <si>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</si>
  <si>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</si>
  <si>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</si>
  <si>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</si>
  <si>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</si>
  <si>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</si>
  <si>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</si>
  <si>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</si>
  <si>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</si>
  <si>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</si>
  <si>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</si>
  <si>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</si>
  <si>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</si>
  <si>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</si>
  <si>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</si>
  <si>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</si>
  <si>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</si>
  <si>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</si>
  <si>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</si>
  <si>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</si>
  <si>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</si>
  <si>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</si>
  <si>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</si>
  <si>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</si>
  <si>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t>
  </si>
  <si>
    <t>PRI</t>
  </si>
  <si>
    <t>Qatar</t>
  </si>
  <si>
    <t>QAT</t>
  </si>
  <si>
    <t>Romania</t>
  </si>
  <si>
    <t>ROU</t>
  </si>
  <si>
    <t>Russian Federation</t>
  </si>
  <si>
    <t>RUS</t>
  </si>
  <si>
    <t>Rwanda</t>
  </si>
  <si>
    <t>RWA</t>
  </si>
  <si>
    <t>Samoa</t>
  </si>
  <si>
    <t>WSM</t>
  </si>
  <si>
    <t>San Marino</t>
  </si>
  <si>
    <t>SMR</t>
  </si>
  <si>
    <t>São Tomé and Principe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</si>
  <si>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</si>
  <si>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</si>
  <si>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</si>
  <si>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</si>
  <si>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</si>
  <si>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</si>
  <si>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</si>
  <si>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</si>
  <si>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</si>
  <si>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</si>
  <si>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</si>
  <si>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</si>
  <si>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</si>
  <si>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</si>
  <si>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</si>
  <si>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</si>
  <si>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</si>
  <si>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</si>
  <si>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</si>
  <si>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</si>
  <si>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</si>
  <si>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Somalia</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</si>
  <si>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</si>
  <si>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</si>
  <si>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</si>
  <si>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</si>
  <si>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</si>
  <si>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</si>
  <si>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</si>
  <si>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</si>
  <si>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</si>
  <si>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</si>
  <si>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</si>
  <si>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</si>
  <si>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</si>
  <si>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</si>
  <si>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</si>
  <si>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</si>
  <si>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</si>
  <si>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</si>
  <si>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</si>
  <si>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</si>
  <si>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</si>
  <si>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Swaziland</t>
  </si>
  <si>
    <t>SWZ</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</si>
  <si>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</si>
  <si>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</si>
  <si>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</si>
  <si>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</si>
  <si>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</si>
  <si>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</si>
  <si>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</si>
  <si>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</si>
  <si>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</si>
  <si>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</si>
  <si>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</si>
  <si>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</si>
  <si>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</si>
  <si>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</si>
  <si>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</si>
  <si>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</si>
  <si>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</si>
  <si>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</si>
  <si>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</si>
  <si>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</si>
  <si>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</si>
  <si>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</si>
  <si>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</si>
  <si>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</si>
  <si>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Turkey</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</si>
  <si>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</si>
  <si>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</si>
  <si>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</si>
  <si>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</si>
  <si>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</si>
  <si>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</si>
  <si>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</si>
  <si>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</si>
  <si>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</si>
  <si>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</si>
  <si>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</si>
  <si>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</si>
  <si>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</si>
  <si>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</si>
  <si>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</si>
  <si>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</si>
  <si>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</si>
  <si>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</si>
  <si>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</si>
  <si>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</si>
  <si>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</si>
  <si>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</si>
  <si>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</si>
  <si>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</si>
  <si>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</si>
  <si>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</si>
  <si>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</si>
  <si>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</si>
  <si>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</si>
  <si>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</si>
  <si>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</si>
  <si>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</si>
  <si>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</si>
  <si>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</si>
  <si>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</si>
  <si>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</si>
  <si>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</si>
  <si>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Year</t>
  </si>
  <si>
    <t>Experience</t>
  </si>
  <si>
    <t>Category</t>
  </si>
  <si>
    <t>Metric</t>
  </si>
  <si>
    <t>Description</t>
  </si>
  <si>
    <t>Value Year (where applicable)</t>
  </si>
  <si>
    <t>Value Scale</t>
  </si>
  <si>
    <t>Units</t>
  </si>
  <si>
    <t>Source (where common)</t>
  </si>
  <si>
    <t>Disaster Profile</t>
  </si>
  <si>
    <t>Disaster Name</t>
  </si>
  <si>
    <t>Disaster name as titled on Wikipedia</t>
  </si>
  <si>
    <t>Wikipedia</t>
  </si>
  <si>
    <t>Country</t>
  </si>
  <si>
    <t>Disaster country as defined by the World Bank classification; where event spans multiple countries, only the worst-affected country has been chosen</t>
  </si>
  <si>
    <t>World Bank</t>
  </si>
  <si>
    <t>ISO</t>
  </si>
  <si>
    <t>ISO 3166-1 alpha-3 - three letter country codes</t>
  </si>
  <si>
    <t>ISO 3166 standard</t>
  </si>
  <si>
    <t>Disaster Type</t>
  </si>
  <si>
    <t>Disaster type: flood, storm, earthquake</t>
  </si>
  <si>
    <t>EM-DAT</t>
  </si>
  <si>
    <t>Disaster Subtype</t>
  </si>
  <si>
    <t>Disaster sub-type</t>
  </si>
  <si>
    <t>Year of event; where events (primarily floods) occur across multiple years, use the start year</t>
  </si>
  <si>
    <t>Magnitude</t>
  </si>
  <si>
    <t>Dependent on event type</t>
  </si>
  <si>
    <t>Locus</t>
  </si>
  <si>
    <t>Most severely impacted administrative area</t>
  </si>
  <si>
    <t>Antecedent conditions</t>
  </si>
  <si>
    <t>Population</t>
  </si>
  <si>
    <t>Total national population</t>
  </si>
  <si>
    <t>Event Year</t>
  </si>
  <si>
    <t>National</t>
  </si>
  <si>
    <t>People</t>
  </si>
  <si>
    <t>World Bank: https://data.worldbank.org/indicator/sp.pop.totl</t>
  </si>
  <si>
    <t>Economy Type</t>
  </si>
  <si>
    <t>Orientation of economy based on proportion of GDP produced by services, industrial, and agricultural sectors</t>
  </si>
  <si>
    <t>Lookup based on country ISO; CCRS classification, based on proportion OEM GDP - manual overwrite where neccessary</t>
  </si>
  <si>
    <t>Income Group</t>
  </si>
  <si>
    <t>According to the World Bank Country Classification</t>
  </si>
  <si>
    <t>World Bank: https://datahelpdesk.worldbank.org/knowledgebase/articles/906519-world-bank-country-and-lending-groups</t>
  </si>
  <si>
    <t>GDP Growth</t>
  </si>
  <si>
    <t>Measure of the annual real economic growth rate</t>
  </si>
  <si>
    <t>%</t>
  </si>
  <si>
    <t>World Bank: https://data.worldbank.org/indicator/NY.GDP.MKTP.KD.ZG?locations=BD</t>
  </si>
  <si>
    <t>GDP per Capita</t>
  </si>
  <si>
    <t>Measure of the total output of a country that divides GDP by total population</t>
  </si>
  <si>
    <t>US$</t>
  </si>
  <si>
    <t>World Bank: https://data.worldbank.org/indicator/ny.gdp.pcap.cd</t>
  </si>
  <si>
    <t>GNI per Capita</t>
  </si>
  <si>
    <t>The dollar value of a country's final income in a year, divided by its population. It reflects the average income of a country's citizens.</t>
  </si>
  <si>
    <t>World Bank: https://data.worldbank.org/indicator/ny.gnp.pcap.pp.cd</t>
  </si>
  <si>
    <t>IHDI Value</t>
  </si>
  <si>
    <t>The IHDI combines a country's average achievements in health, education and income with how those achievements are distributed among country's population by “discounting” each dimension's average value according to its level ofinequality.</t>
  </si>
  <si>
    <t>0-1 index</t>
  </si>
  <si>
    <t>United Nations: http://hdr.undp.org/en/composite/IHDI</t>
  </si>
  <si>
    <t>Gini Coefficient</t>
  </si>
  <si>
    <t>Inequality/ wealth distribution of residents within country</t>
  </si>
  <si>
    <t>Most Recent</t>
  </si>
  <si>
    <t>0-100 index</t>
  </si>
  <si>
    <t>World Bank: https://data.worldbank.org/indicator/SI.POV.GINI</t>
  </si>
  <si>
    <t>Corrupt. Index</t>
  </si>
  <si>
    <t>Transparency International: https://www.transparency.org/research/cpi/overview</t>
  </si>
  <si>
    <t>Non-Life Insurance Penetration</t>
  </si>
  <si>
    <t>Insurance premiums as a proportion of GDP</t>
  </si>
  <si>
    <t>Sigma Swiss Re (data aquired by CCRS, visible on sigma explorer http://www.sigma-explorer.com/ but cant be exported)</t>
  </si>
  <si>
    <t>Load</t>
  </si>
  <si>
    <t>Damage Severity</t>
  </si>
  <si>
    <t>Proportional damage/destruction of physical building stock/infrastructure</t>
  </si>
  <si>
    <t>1-5 rating scale</t>
  </si>
  <si>
    <t>Economic Loss</t>
  </si>
  <si>
    <t>A value of all economic losses directly or indirectly related to the disaster</t>
  </si>
  <si>
    <t>000 US$</t>
  </si>
  <si>
    <t>Fatalities</t>
  </si>
  <si>
    <t>Number of people who lost their life as a result of the event</t>
  </si>
  <si>
    <t>Displaced</t>
  </si>
  <si>
    <t>Number of people whose house is destroyed or heavily damaged and therefore need shelter after the event</t>
  </si>
  <si>
    <t>Affected Population</t>
  </si>
  <si>
    <t>People requiring immediate assistance during an emergency situation. Conveys the extent, impact, or severity of a disaster in non-spatial terms.</t>
  </si>
  <si>
    <t>Proportion Population Affected</t>
  </si>
  <si>
    <t>Ratio of directly affected population to the total population of country</t>
  </si>
  <si>
    <t>Calculation: Proportion = Affected/Population</t>
  </si>
  <si>
    <t>Resourcing</t>
  </si>
  <si>
    <t>Self vs external finance</t>
  </si>
  <si>
    <t>Was recovery funded by personal/communal capital and informal insurance networks or were those affected reliant on external finance sources?</t>
  </si>
  <si>
    <t>The time taken to deliver financial aid to those in need</t>
  </si>
  <si>
    <t>Government aid</t>
  </si>
  <si>
    <t>Total value of governmental aid allocated to the disaster response/recovery</t>
  </si>
  <si>
    <t>Total value of international aid allocated to the disaster response/recovery</t>
  </si>
  <si>
    <t>Insured loss</t>
  </si>
  <si>
    <t>Economic damages which are covered by insurance companies</t>
  </si>
  <si>
    <t>Organisational</t>
  </si>
  <si>
    <t>Categoric</t>
  </si>
  <si>
    <t>Disaster Management Authority</t>
  </si>
  <si>
    <t>Type of (governmental) authority responsible for managing and coordinating the relief and recovery effort. May be a (non-/)specialised fixed government agency or specially-formed following the event</t>
  </si>
  <si>
    <t>A-C category</t>
  </si>
  <si>
    <t>Public Participation</t>
  </si>
  <si>
    <t>Extent to which stakeholders/communities/individuals are involved in decision making</t>
  </si>
  <si>
    <t>1-3 rating scale</t>
  </si>
  <si>
    <t>Management</t>
  </si>
  <si>
    <t>Decision Making</t>
  </si>
  <si>
    <t>Is urban planning and other resilience-related decision making based on scientific research and understanding of the hazard</t>
  </si>
  <si>
    <t>Previous experience of disasters in the affected region</t>
  </si>
  <si>
    <t>A-D category</t>
  </si>
  <si>
    <t>Recovery - Economy</t>
  </si>
  <si>
    <t>Qualitative assessment of the time taken for the economy to return to 90% of the pre-event level, or to a new stable norm; primary proxy is employment and productivity (measured by GDP where possible) of the disaster locus</t>
  </si>
  <si>
    <t>1-9 rating scale</t>
  </si>
  <si>
    <t>Qualitative assessment of the quality of the economy once it has returned to 90% of the pre-event level, or to a new stable norm; primary proxy is employment and productivity</t>
  </si>
  <si>
    <t>Confidence of the author's qualitative assessment of recovery of the economy - to be used as confidence interval</t>
  </si>
  <si>
    <t>1-4 rating scale</t>
  </si>
  <si>
    <t>Recovery - Society</t>
  </si>
  <si>
    <t>Qualitative assessment of the time taken for the society of the disaster locus to return to 90% of the pre-event level, or to a new stable norm; primary proxy is housing</t>
  </si>
  <si>
    <t>Confidence of the author's qualitative assessment of recovery of society - to be used as confidence interval</t>
  </si>
  <si>
    <t>Classification</t>
  </si>
  <si>
    <t xml:space="preserve">Minimal </t>
  </si>
  <si>
    <t xml:space="preserve">20-40% </t>
  </si>
  <si>
    <t>Moderate</t>
  </si>
  <si>
    <t xml:space="preserve">40-60% </t>
  </si>
  <si>
    <t>Severe</t>
  </si>
  <si>
    <t>Very severe</t>
  </si>
  <si>
    <t>Total destruction</t>
  </si>
  <si>
    <t>Self-funded - No external aid received</t>
  </si>
  <si>
    <t>Mostly self-funded - Little external aid received</t>
  </si>
  <si>
    <t>Balanced - Personal capital and external aid were equal in facilitating recovery</t>
  </si>
  <si>
    <t>Mostly external - Mostly dependent on external (state, international, insurance) aid</t>
  </si>
  <si>
    <t>External - Totally dependent on external (state &amp; international) aid</t>
  </si>
  <si>
    <t>&lt;3 Months</t>
  </si>
  <si>
    <t>More than sufficient</t>
  </si>
  <si>
    <t>A</t>
  </si>
  <si>
    <t>Permanent governmental, non-specialised agency</t>
  </si>
  <si>
    <t>B</t>
  </si>
  <si>
    <t>Specialised gov. agency</t>
  </si>
  <si>
    <t>Permanent governmental, specialised agency (e.g. FEMA)</t>
  </si>
  <si>
    <t>C</t>
  </si>
  <si>
    <t xml:space="preserve">Specialised disaster management/governance agency formed in response to disaster </t>
  </si>
  <si>
    <t>None - No stakeholder/community participation in decision making/ inadequate</t>
  </si>
  <si>
    <t>Extensive</t>
  </si>
  <si>
    <t>Full - stakeholders/community consulted and fully involved in recovery decision making</t>
  </si>
  <si>
    <t>No scientific basis</t>
  </si>
  <si>
    <t>Limited scientific basis</t>
  </si>
  <si>
    <t>Established scientific basis</t>
  </si>
  <si>
    <t>None</t>
  </si>
  <si>
    <t>In living memory</t>
  </si>
  <si>
    <t>Infrequent</t>
  </si>
  <si>
    <t>Low-mid-magnitude disasters occur infrequently</t>
  </si>
  <si>
    <t>Frequent</t>
  </si>
  <si>
    <t>Low-mid-magnitude disasters occur frequently</t>
  </si>
  <si>
    <t>Major</t>
  </si>
  <si>
    <t>High-magnitude disaster in living memory</t>
  </si>
  <si>
    <t>Never</t>
  </si>
  <si>
    <t>Much worse</t>
  </si>
  <si>
    <t>Worse</t>
  </si>
  <si>
    <t>Much improved</t>
  </si>
  <si>
    <t>2004 Bangladesh Floods</t>
  </si>
  <si>
    <t>Flood</t>
  </si>
  <si>
    <t>Riverine Flood</t>
  </si>
  <si>
    <t>2012 Hurricane Sandy</t>
  </si>
  <si>
    <t>Storm</t>
  </si>
  <si>
    <t>Extratropical Cyclone</t>
  </si>
  <si>
    <t>2005 Hurricane Katrina</t>
  </si>
  <si>
    <t>Tropical Cyclone</t>
  </si>
  <si>
    <t>2014 India(-Pakistan) floods</t>
  </si>
  <si>
    <t>2013 Typhoon Haiyan (Yolanda)</t>
  </si>
  <si>
    <t>2017 Typhoon Damrey (Ramil)</t>
  </si>
  <si>
    <t>2013 European floods (Germany)</t>
  </si>
  <si>
    <t>2007 UK floods</t>
  </si>
  <si>
    <t>2004 Typhoon Tokage (Siony)</t>
  </si>
  <si>
    <t>2010 China Floods</t>
  </si>
  <si>
    <t>1998 Hurricane Mitch</t>
  </si>
  <si>
    <t>2004 Hurricane Frances</t>
  </si>
  <si>
    <t>2004 Hurricane Ivan</t>
  </si>
  <si>
    <t>1994 Northridge earthquake</t>
  </si>
  <si>
    <t>Earthquake &amp; Tsunami</t>
  </si>
  <si>
    <t>Earthquake</t>
  </si>
  <si>
    <t>2003 Bam earthquake</t>
  </si>
  <si>
    <t>2004 Indian Ocean earthquake and tsunami</t>
  </si>
  <si>
    <t>2005 Kashmir earthquake</t>
  </si>
  <si>
    <t>2008 Sichuan (Wenchuan) earthquake</t>
  </si>
  <si>
    <t>2009 L'Aquila earthquake</t>
  </si>
  <si>
    <t>2011 Christchurch earthquake</t>
  </si>
  <si>
    <t>2011 Tōhoku earthquake and tsunami</t>
  </si>
  <si>
    <t>2011 Van earthquake</t>
  </si>
  <si>
    <t xml:space="preserve">2015 Gorkha earthquake </t>
  </si>
  <si>
    <t>1995 Great Hanshin (Kobe) earthquake</t>
  </si>
  <si>
    <t>2010 Haiti earthquake</t>
  </si>
  <si>
    <t>2010 Mentawai earthquake and tsunami</t>
  </si>
  <si>
    <t>1931 China Floods</t>
  </si>
  <si>
    <t>1937 (Ohio River) Great Flood</t>
  </si>
  <si>
    <t>1939 China Floods</t>
  </si>
  <si>
    <t>1949 Guatemala Floods</t>
  </si>
  <si>
    <t>1953 North Kyushu Flood</t>
  </si>
  <si>
    <t>1953 North Sea Flood</t>
  </si>
  <si>
    <t>Coastal Flood</t>
  </si>
  <si>
    <t>1954 Iran Summer Floods</t>
  </si>
  <si>
    <t>Flash Flood</t>
  </si>
  <si>
    <t>1962 Rubi Flood</t>
  </si>
  <si>
    <t>1963 Landslide of the Vajont Dam</t>
  </si>
  <si>
    <t>1966 Jordan Flood</t>
  </si>
  <si>
    <t>1967 Lisbon Flood</t>
  </si>
  <si>
    <t>1974 Bangladesh Floods and Famine</t>
  </si>
  <si>
    <t>1988 Rio Flood</t>
  </si>
  <si>
    <t>1991 Malawi Floods</t>
  </si>
  <si>
    <t>1993 Great (Mississippi and Missouri Rivers) Flood</t>
  </si>
  <si>
    <t>1999 Vargas Tragedy</t>
  </si>
  <si>
    <t>2010(-2011) Queensland Floods</t>
  </si>
  <si>
    <t>2010 Central European Floods</t>
  </si>
  <si>
    <t>2011 Rio de Janeiro Floods</t>
  </si>
  <si>
    <t>2011 Thailand Floods</t>
  </si>
  <si>
    <t>2013 North India Floods</t>
  </si>
  <si>
    <t>2013 Philippines Floods</t>
  </si>
  <si>
    <t>1937 Great Hong Kong typhoon</t>
  </si>
  <si>
    <t>1943 Chennai (Madras) flood or Rajputana flood (less severe)</t>
  </si>
  <si>
    <t>1985 Typhoon Cecil (Rubing)</t>
  </si>
  <si>
    <t>1975 Typhoon Nina (Bebeng)</t>
  </si>
  <si>
    <t>1977 Andhra Pradesh Cyclone (Devi Taluk )</t>
  </si>
  <si>
    <t>1989 Hurricane Hugo</t>
  </si>
  <si>
    <t>1990 Storm Daria (Burns' Day Storm)</t>
  </si>
  <si>
    <t>1991 Typhoon Mireille (Rosing)</t>
  </si>
  <si>
    <t>1991 Bangladesh Cyclone</t>
  </si>
  <si>
    <t>1992 Hurricane Andrew</t>
  </si>
  <si>
    <t>1993 Tropical Storm Bret</t>
  </si>
  <si>
    <t>1999 Cyclones Lothar and Martin</t>
  </si>
  <si>
    <t>1999 Hurricane Floyd</t>
  </si>
  <si>
    <t>1999 Typhoon Bart (Oniang)</t>
  </si>
  <si>
    <t>1999 Cyclone Anatol</t>
  </si>
  <si>
    <t>2000 Typhoon Prapiroon (Lusing)</t>
  </si>
  <si>
    <t>2004 Hurricane Jeanne</t>
  </si>
  <si>
    <t>2008 Cyclone Nargis</t>
  </si>
  <si>
    <t>2009 Cyclone Klaus</t>
  </si>
  <si>
    <t>2009 Typhoon Morakot (Kiko)</t>
  </si>
  <si>
    <t>2010 Cyclone Xynthia</t>
  </si>
  <si>
    <t>1906 Ecuador–Colombia earthquake</t>
  </si>
  <si>
    <t>1908 Messina earthquake</t>
  </si>
  <si>
    <t>1920 Haiyuan earthquake</t>
  </si>
  <si>
    <t>1922 Vallenar earthquake</t>
  </si>
  <si>
    <t>1923 Great Kantō earthquake</t>
  </si>
  <si>
    <t>1948 Ashgabat earthquake</t>
  </si>
  <si>
    <t>1950 Assam–Tibet earthquake</t>
  </si>
  <si>
    <t>1952 Kamchatka earthquakes</t>
  </si>
  <si>
    <t>1960 Valdivia earthquake</t>
  </si>
  <si>
    <t>1964 Alaska earthquake</t>
  </si>
  <si>
    <t>1970 Ancash earthquake</t>
  </si>
  <si>
    <t>1976 Tangshan earthquake</t>
  </si>
  <si>
    <t>1980 Irpinia earthquake</t>
  </si>
  <si>
    <t>1988 Armenian earthquake</t>
  </si>
  <si>
    <t>1990 Manjil–Rudbar earthquake</t>
  </si>
  <si>
    <t>1999 Jiji earthquake</t>
  </si>
  <si>
    <t>2003 Boumerdès earthquake</t>
  </si>
  <si>
    <t>2005 Nias–Simeulue earthquake</t>
  </si>
  <si>
    <t>2007 Sumatra earthquake</t>
  </si>
  <si>
    <t>1933 Sanriku earthquake</t>
  </si>
  <si>
    <t>1956 Amorgos earthquake</t>
  </si>
  <si>
    <t>1976 Moro Gulf earthquake</t>
  </si>
  <si>
    <t>1979 Tumaco earthquake</t>
  </si>
  <si>
    <t>1992 Nicaragua earthquake</t>
  </si>
  <si>
    <t>1993 Hokkaidō earthquake</t>
  </si>
  <si>
    <t>1998 Papua New Guinea earthquake</t>
  </si>
  <si>
    <t>2001 Southern Peru earthquake</t>
  </si>
  <si>
    <t>2006 Pangandaran earthquake and tsunami</t>
  </si>
  <si>
    <t xml:space="preserve">2007 Solomon Islands earthquake </t>
  </si>
  <si>
    <t>2009 Samoa earthquake and tsunami</t>
  </si>
  <si>
    <t>1970 Bhola Cyclone</t>
  </si>
  <si>
    <t>CS ID</t>
  </si>
  <si>
    <t>21,420 km2</t>
  </si>
  <si>
    <t>NE &amp; cntrl BGD</t>
  </si>
  <si>
    <t>CAT 3</t>
  </si>
  <si>
    <t>New York/New Jersey</t>
  </si>
  <si>
    <t>CAT 5</t>
  </si>
  <si>
    <t>New Orleans</t>
  </si>
  <si>
    <t>CAT 4</t>
  </si>
  <si>
    <t>Jammu &amp; Kashmir</t>
  </si>
  <si>
    <t>Eastern Visayas: Tacloban City</t>
  </si>
  <si>
    <t>CAT 2</t>
  </si>
  <si>
    <t>Khanh Hoa Province</t>
  </si>
  <si>
    <t>Force 12</t>
  </si>
  <si>
    <t>N. Germany (Hamburg)</t>
  </si>
  <si>
    <t>Force 13</t>
  </si>
  <si>
    <t>S &amp; cntrl British Isles</t>
  </si>
  <si>
    <t>Kyushu Island</t>
  </si>
  <si>
    <t>28 mainland Provinces</t>
  </si>
  <si>
    <t>Nationwide</t>
  </si>
  <si>
    <t>All islands</t>
  </si>
  <si>
    <t>6.7 Mw</t>
  </si>
  <si>
    <t>Northridge</t>
  </si>
  <si>
    <t>6.6 Mw</t>
  </si>
  <si>
    <t>Bam</t>
  </si>
  <si>
    <t>9.1 Mw</t>
  </si>
  <si>
    <t>Indian Ocean</t>
  </si>
  <si>
    <t>7.6 Mw</t>
  </si>
  <si>
    <t>Kashmir NW Frontier</t>
  </si>
  <si>
    <t>7.9 Mw</t>
  </si>
  <si>
    <t>Wenchuan</t>
  </si>
  <si>
    <t>6.2 Mw</t>
  </si>
  <si>
    <t>L'Aquila</t>
  </si>
  <si>
    <t>8.8 Mw</t>
  </si>
  <si>
    <t>Concepción</t>
  </si>
  <si>
    <t>6.3 Mw</t>
  </si>
  <si>
    <t>Christchurch</t>
  </si>
  <si>
    <t>9.0 Mw</t>
  </si>
  <si>
    <t>Tohoku</t>
  </si>
  <si>
    <t>7.1 Mw</t>
  </si>
  <si>
    <t>Van</t>
  </si>
  <si>
    <t>7.8 Mw</t>
  </si>
  <si>
    <t>Gorkha</t>
  </si>
  <si>
    <t>6.9 Mw</t>
  </si>
  <si>
    <t>7.0 Mw</t>
  </si>
  <si>
    <t>8.8 Muk</t>
  </si>
  <si>
    <t>7.5 Ms</t>
  </si>
  <si>
    <t>8.6 Ms</t>
  </si>
  <si>
    <t>8.7 Mw</t>
  </si>
  <si>
    <t>7.9 Muk</t>
  </si>
  <si>
    <t>7.2 Mw</t>
  </si>
  <si>
    <t>8.6 Muk</t>
  </si>
  <si>
    <t>9.0 Muk</t>
  </si>
  <si>
    <t>9.5 Muk</t>
  </si>
  <si>
    <t>9.2 Muk</t>
  </si>
  <si>
    <t>6.1 Mw</t>
  </si>
  <si>
    <t>6.7 Mw</t>
  </si>
  <si>
    <t>7.4 Mw</t>
  </si>
  <si>
    <t>6.8 Mw</t>
  </si>
  <si>
    <t>8.6 Mw</t>
  </si>
  <si>
    <t>8.5 Mw</t>
  </si>
  <si>
    <t>8.0 Mw</t>
  </si>
  <si>
    <t>8.2 Mw- 6m</t>
  </si>
  <si>
    <t>7.7 Mw</t>
  </si>
  <si>
    <t>7.7 Mw</t>
  </si>
  <si>
    <t>7.0 Mw- 15m</t>
  </si>
  <si>
    <t>8.4 Mw- 7 m</t>
  </si>
  <si>
    <t>% of Population</t>
  </si>
  <si>
    <t>Metadata for metrics in the database</t>
  </si>
  <si>
    <t>Medium</t>
  </si>
  <si>
    <t>11-20 Years</t>
  </si>
  <si>
    <t>6-10 Years</t>
  </si>
  <si>
    <t>Anchorage</t>
  </si>
  <si>
    <t>Port-au-Prince</t>
  </si>
  <si>
    <t>Kobe</t>
  </si>
  <si>
    <t>Ohio</t>
  </si>
  <si>
    <t>D</t>
  </si>
  <si>
    <t>Score</t>
  </si>
  <si>
    <t>Electoral process and pluralism</t>
  </si>
  <si>
    <t>Functioning of government</t>
  </si>
  <si>
    <t>Political participation</t>
  </si>
  <si>
    <t>Political culture</t>
  </si>
  <si>
    <t>Civil liberties</t>
  </si>
  <si>
    <t>Regime type</t>
  </si>
  <si>
    <t>State of Democracy</t>
  </si>
  <si>
    <t>The index is based on 60 indicators grouped in five different categories, measuring pluralism, civil liberties and political culture. In addition to a numeric score and a ranking, the index categorises each country in one of four regime types: full democracies, flawed democracies, hybrid regimes and authoritarian regimes.</t>
  </si>
  <si>
    <t>Authoritarian</t>
  </si>
  <si>
    <t>Hybrid regime</t>
  </si>
  <si>
    <t>Not classified</t>
  </si>
  <si>
    <t>Flawed democracy</t>
  </si>
  <si>
    <t>Full democracy</t>
  </si>
  <si>
    <t>Flawed democracy[a]</t>
  </si>
  <si>
    <t>Society - Safety</t>
  </si>
  <si>
    <t>Society - Confidence</t>
  </si>
  <si>
    <t>Society - Speed</t>
  </si>
  <si>
    <t>Economy - Confidence</t>
  </si>
  <si>
    <t>Economy - Quality</t>
  </si>
  <si>
    <t>Economy - Speed</t>
  </si>
  <si>
    <t>Society - Amenity</t>
  </si>
  <si>
    <t>Quality</t>
  </si>
  <si>
    <t>6-11 Months</t>
  </si>
  <si>
    <t>Occasional</t>
  </si>
  <si>
    <t>Low-mid-magnitude disasters occur occasionally</t>
  </si>
  <si>
    <t>1-8 rating scale</t>
  </si>
  <si>
    <t>Flood 4</t>
  </si>
  <si>
    <t>Comments</t>
  </si>
  <si>
    <t>recovery slowed by japanese invasion, civil war and Communist take-over</t>
  </si>
  <si>
    <t>recovery slowed by 2nd WW, and Communist Great leap Forward</t>
  </si>
  <si>
    <t>recovery slowed by Great Depression</t>
  </si>
  <si>
    <t>Isolated Christain area in a Muslim country</t>
  </si>
  <si>
    <t>discepancy in number of fatalities EMDAT 40,000</t>
  </si>
  <si>
    <t>Tientsin</t>
  </si>
  <si>
    <t>Mentawai</t>
  </si>
  <si>
    <t>Pacific coast</t>
  </si>
  <si>
    <t>EMDAT 2,566 fatalities</t>
  </si>
  <si>
    <t>Northern Kyushu -Kumamoto/Fukuoka</t>
  </si>
  <si>
    <t>South East coast</t>
  </si>
  <si>
    <t>period of political turmoil</t>
  </si>
  <si>
    <t>Lobregat, Barcelona</t>
  </si>
  <si>
    <t>big influx of immigrants from S America and N Africa</t>
  </si>
  <si>
    <t>Piave Valley north Venice</t>
  </si>
  <si>
    <t xml:space="preserve">80% of inhabitants killed survivors moved 50km to newly built village Vajont, Longarone, the town in path of tsunami, was rebuilt </t>
  </si>
  <si>
    <t>Ma'an</t>
  </si>
  <si>
    <t>Farahzad, Tehran</t>
  </si>
  <si>
    <t>1972 Seoul Kyonggi Flood</t>
  </si>
  <si>
    <t>Brisbane</t>
  </si>
  <si>
    <t>$440 million spent on recovery</t>
  </si>
  <si>
    <t>monsoon; famine; post 1971 independence turmoil; market mismanagement; rice price inflation; world-wide food prices; bankrupt government; American embargo on food aid; 1.5 million dead</t>
  </si>
  <si>
    <t>urban planning failures; inadequate local government</t>
  </si>
  <si>
    <t>Phalombe</t>
  </si>
  <si>
    <t>1995 North Korea Floods and Famine</t>
  </si>
  <si>
    <t xml:space="preserve">12% grain production lost; failure of distribution system; poor government decisions; 'Arduous March' famine 600,000-3,500,000 deaths; rice production fell from 3.5 million tons in 1993 to 0.98 in 1996; extensive deforestation </t>
  </si>
  <si>
    <t>Political polarisation; corruption and incompetence;  In power only 10 months, Chavez lost interest in managing recovery; major relocation of survivors to Barquisimeto,  Lara State, population numbers recovered in 4 years</t>
  </si>
  <si>
    <t>rapid unregulated urban growth</t>
  </si>
  <si>
    <t>Czech republic, Germany, Hungary also affected</t>
  </si>
  <si>
    <t>charitable aid not international; &lt;1% residential insurance cover;  major change in perception ofnon-life  insurance risk; new industrial parks badly hit; hydological mismanagement; flood waters released from Bhumiphol dam; period of acute political turmoil; lawsuit against government</t>
  </si>
  <si>
    <t>Site visit to observe and interview; household survey; expert survey</t>
  </si>
  <si>
    <t xml:space="preserve">Remote survey or highly reliable detailed source material </t>
  </si>
  <si>
    <t>Inferences from internet based search of new reports and offical documents</t>
  </si>
  <si>
    <t>Non-Governmental aid</t>
  </si>
  <si>
    <t>Qualitative assessment of the quality and amenity of society once it has returned to 90% of the pre-event level, or to a new stable norm; primary proxies include population change, cultural change (for example whether households have been separated), and availability and quality of social services and community spaces</t>
  </si>
  <si>
    <t>Qualitative assessment of the safety of society once it has returned to 90% of the pre-event level, or to a new stable norm; primary proxies include initiatives to improve resilience of the built environment to natural hazards, so that they are more resistant to failure in the future</t>
  </si>
  <si>
    <t>Manila; Luzon</t>
  </si>
  <si>
    <t>Pagadian City</t>
  </si>
  <si>
    <t>Main loss to shipping, both large and small vessels</t>
  </si>
  <si>
    <t>Hong Kong</t>
  </si>
  <si>
    <t>Madras (Chennai)</t>
  </si>
  <si>
    <t>Followed by Great Bengal famine</t>
  </si>
  <si>
    <t>Recovering and restructuring after Vietnam war and war with China, state control of industry and business</t>
  </si>
  <si>
    <t>Torrential rain caused 62 dam failures, including Banqiao dam. Causing main loss of life and economic damage.</t>
  </si>
  <si>
    <t>Tangshan</t>
  </si>
  <si>
    <t>Huai river basin</t>
  </si>
  <si>
    <t>Lijunbu-Haiyuan-Ganyanchi</t>
  </si>
  <si>
    <t>One of five all time deadliest earthquakes</t>
  </si>
  <si>
    <t>Krishna River delta; Avanigadda</t>
  </si>
  <si>
    <t>South Carolina, Charlestown</t>
  </si>
  <si>
    <t>Further $3 billion loss in Caribbean; FEMA heavily criticised for bureaucratic incompetence; significant improvement in building codes and preparedness post disaster</t>
  </si>
  <si>
    <t>Extensive across UK</t>
  </si>
  <si>
    <t xml:space="preserve">Wet snow </t>
  </si>
  <si>
    <t>Extensive across Japan</t>
  </si>
  <si>
    <t>Costliest typhoon on record. Also hit Philippines</t>
  </si>
  <si>
    <t>Extreme high tide 5.5m above norma and 6m storm surge; land washed away; big impact on agriculture and fisheries; improved warning and reforestation; US lead Operation Sea Angel 1 month</t>
  </si>
  <si>
    <t>SE Coast</t>
  </si>
  <si>
    <t>S Florida; Louisiana</t>
  </si>
  <si>
    <t xml:space="preserve">Heavy rainfall, flooding and mudslides most destructive; </t>
  </si>
  <si>
    <t>Barinas State; Caracas</t>
  </si>
  <si>
    <t>Western and central Europe</t>
  </si>
  <si>
    <t>Major energy outage; devastated forests; clustering of various storms</t>
  </si>
  <si>
    <t>Bahamas, Eastern seaboard USA, N Carolina</t>
  </si>
  <si>
    <t>Torrential rain and flooding; FEMA criticised for slow response; but increased awareness, better hazard mapping, insurance, provision for vulnerable</t>
  </si>
  <si>
    <t>Kumamoto Prefecture on Ky?sh?</t>
  </si>
  <si>
    <t>Denmark, N Germany, Hamburg, Schleswig-Holstein</t>
  </si>
  <si>
    <t>CAT 1</t>
  </si>
  <si>
    <t>NOT ABLE TO FIND INFO</t>
  </si>
  <si>
    <t>One of series of 3 storms</t>
  </si>
  <si>
    <t>Gonaives</t>
  </si>
  <si>
    <t>Irrawaddy Delta, Labutta Town</t>
  </si>
  <si>
    <t>Probably more than 138000 deaths; Relief affected by Sichuan earthquake 3 months later; Relief hampered by actions of miltary junta</t>
  </si>
  <si>
    <t>Santander, Bilboa, Barcelona, Alicante</t>
  </si>
  <si>
    <t>Strong winds, freak 28m waves at Santander; Widespread, also affected France and italy; new island emerged at Royan; economic recovery complicated by 2008 crash</t>
  </si>
  <si>
    <t>Southern Region</t>
  </si>
  <si>
    <t>Worse disaster in 50 years; Severe flooding; slow response; also hit Philippines; led to improvements in disaster management</t>
  </si>
  <si>
    <t>Huge rainfall and flooding, deforestation;direct and indirect losses 70% GDP; 70% agriculture destroyed; prompted debate about morality of international debt</t>
  </si>
  <si>
    <t xml:space="preserve">Also hit Florida and USA where it caused most economic damage (US 9 billion) and fatalities; </t>
  </si>
  <si>
    <t>Sources</t>
  </si>
  <si>
    <t>Severe rainfall, mudslides aggravated by deforestation; Also hit Caribbean and USA</t>
  </si>
  <si>
    <t>Flooding along Atlantic and Channel coast; Storm protection shutters trapped people in flooded homes; Mayor and Deputy imprisoned for granting permission for development in flood hazard zone;   French Government decided to destroy 1,510 houses in the affected areas</t>
  </si>
  <si>
    <t>&lt;0.5%</t>
  </si>
  <si>
    <t>~1%</t>
  </si>
  <si>
    <t>&lt;3%</t>
  </si>
  <si>
    <t>&lt;2%</t>
  </si>
  <si>
    <t>&lt;0.3</t>
  </si>
  <si>
    <t>&lt;1%</t>
  </si>
  <si>
    <t>&lt;0.8</t>
  </si>
  <si>
    <t>&lt;0.05%</t>
  </si>
  <si>
    <t>~0.3</t>
  </si>
  <si>
    <t>&lt;0.4%</t>
  </si>
  <si>
    <t>&lt;4%</t>
  </si>
  <si>
    <t>~0.9%</t>
  </si>
  <si>
    <t xml:space="preserve">Tsunami waves (3) arrived 12.5 hours after earthquake; </t>
  </si>
  <si>
    <t>Earthquake indiced loess landslides caused high fatalities and damage; severe winter weather, after shocks and temporary shelter caused many deaths</t>
  </si>
  <si>
    <t>Messina</t>
  </si>
  <si>
    <t>Coast Colombia-Ecuador border</t>
  </si>
  <si>
    <t>NW coast</t>
  </si>
  <si>
    <t>Tokyo and Yokahama</t>
  </si>
  <si>
    <t>Most destructive European earthquake ever; levelled Messina and Reggio; killed half population Messina; Widespread fires; 5am so many people asleep; 12 m tsunami 10 minutes after quake; Cities reconstructed in grid plan; many poorest survivors emigrated to USA; huge influx of migrants</t>
  </si>
  <si>
    <t>Widespread fires in Yokohama; Pogrom of Koreans by vigilantes and of political dissidents by government; Tensions between impetus to rebuild and modernise v return to tradional values and rejection of westernisation; Led indirectly to rise of nationalism, militarism and war</t>
  </si>
  <si>
    <t>Caldera, Atacama region, near border with Argentina</t>
  </si>
  <si>
    <t xml:space="preserve">Tsunami 15 mins - 2 hours after quake; </t>
  </si>
  <si>
    <t>Occurred at night which increased death toll; &gt; 2/3 of inhabitants killed; Darreh Gaz area of neighboring Iran was also damaged; City rebuilt; Districts that spontaneously recovered since 1991 bulldozed by Prresdients intent on gentrifying city</t>
  </si>
  <si>
    <t>3,300 fatalities in Tibet; occasion for increased state presence in developing isolated region of NE frontier to resist Chinese expansion in Tibet</t>
  </si>
  <si>
    <t>India NE frontier Assam/Tibet</t>
  </si>
  <si>
    <t>Ashgabat</t>
  </si>
  <si>
    <t>Severo-Kurilsk</t>
  </si>
  <si>
    <t>40% of population Severo-Kurilsk killed, town relocated</t>
  </si>
  <si>
    <t>Lumaco, Temuco, Valdivia</t>
  </si>
  <si>
    <t>Biggest earthquake ever recorded</t>
  </si>
  <si>
    <t>Tsunami arrived 20 mins after quake; Discovery of oil in Prudoe Bay in 1968 accelerated recovery</t>
  </si>
  <si>
    <t>Widespread; Chimbote; Callejón de Huaylas s</t>
  </si>
  <si>
    <t>The northern wall of Mount Huascarán was destabilized, causing a rock, ice and snow avalanche;  world's deadliest avalanche</t>
  </si>
  <si>
    <t>Manjil Rudbar</t>
  </si>
  <si>
    <t>Village Conza. Province Avellino</t>
  </si>
  <si>
    <t>21-30 years</t>
  </si>
  <si>
    <t>During Sunday evening mass and churches collapsed; Over 500 towns damaged; Only a quarter of aid spent on recontruction or victims, the rest went in bribes to politicians or to Camorra; Organised crime took over construction industry; Extensive scaffolding in Spanish quarter Naples</t>
  </si>
  <si>
    <t>Spitak, Leninakan N Armenian</t>
  </si>
  <si>
    <t>Damage from poorly designed and constructed Soviet era buildings; Recovery complicated by 1988-1994: Nagorno-Karabakh War and collaspse of Soviet Union; Less than fifth of USD 8 billion pledged Soviet aid realised;  All 300 industrial facilities damaged, no major industry recovered; Failed attempt to relocate city of Spitak; Reconstruction boosted in 1994 with World Bank loan and community participation</t>
  </si>
  <si>
    <t>On main road north from Tehran to holiday resorts on Caspian; Industry declined, now caters to passing tourist trade; olive sellers</t>
  </si>
  <si>
    <t>Nantou County and Taichung County; Puli town</t>
  </si>
  <si>
    <t>Shoddy construction; resourceful speedy reconstruction; major industries escaped damage</t>
  </si>
  <si>
    <t>Impetus for improvements in disaster risk management and DRR; systemmatic compensation for damage and loss of life; some evidence of corruption</t>
  </si>
  <si>
    <t>Fear of major tsunamiand and evacuation of hundreds of thousands around Indian ocean, but a tsunami did cause damage along 500 km of coast and destroyed homes.</t>
  </si>
  <si>
    <t>Most people evacuated in good time before moderate tsunami</t>
  </si>
  <si>
    <t>Bourmerdés</t>
  </si>
  <si>
    <t>Islands of Nias Simulue</t>
  </si>
  <si>
    <t>Bengkulu</t>
  </si>
  <si>
    <t>Tarö Iwate (now Miyako City)</t>
  </si>
  <si>
    <t>Large tsunami caused extensive damage; some relocation and new sea defences - dykes and walls</t>
  </si>
  <si>
    <t>Underwater landslides caused tsunami</t>
  </si>
  <si>
    <t>Eastern Aegean, Amorgos, Santorini</t>
  </si>
  <si>
    <t>Tsunami minutes after quake; Damage from this and 1983 Popayán eathquake led to earthquake code</t>
  </si>
  <si>
    <t>Tumaco and fishing village Charco</t>
  </si>
  <si>
    <t>West coast; Masachapa</t>
  </si>
  <si>
    <t>Okushiri Island</t>
  </si>
  <si>
    <t>Okushiri Island rebuilt at great expense with sea walls and evacuation platform; young people left after building boom; fishing industry never recovered; fishing port dwarfed by sea defenses</t>
  </si>
  <si>
    <t xml:space="preserve">Villages Arop and Warapu </t>
  </si>
  <si>
    <t>Tsunami caught people unprepared and unaware of danger, hence high death toll; possible escape of natural undersea gas deposit; impact on copra production</t>
  </si>
  <si>
    <t>Arequipa</t>
  </si>
  <si>
    <t>Indonesia suffered many disasters; tsunami  hit Java resort town; much faster response than 2004 tsunami; promises of compensation not realised, homeowners didn't wait and reconstructed from recycled materials</t>
  </si>
  <si>
    <t>YogyakartaProvince; Pangandaran resort</t>
  </si>
  <si>
    <t>2010 Maule earthquake</t>
  </si>
  <si>
    <t xml:space="preserve">Epicentre too close for early warning and evacuation - waves arrived within 20 minutes; </t>
  </si>
  <si>
    <t>Samoa and American Samoa hit and Tonga; some confl;cting govt advice about use of cars to evacuate caused deaths</t>
  </si>
  <si>
    <t>Apia Upolu</t>
  </si>
  <si>
    <t>Simbo Island, S Choiseul</t>
  </si>
  <si>
    <t xml:space="preserve">Upazila, Tazumuddin, </t>
  </si>
  <si>
    <t>Deadliest cyclone recorded; complicated by Bangladesh Liberation War (from Pakistan) and 1971 Bangladesh genocide; govt response criticized</t>
  </si>
  <si>
    <t xml:space="preserve">Recovery complicated by Bohol earthquake 3 weeks earlier; Survey of 30 experts; </t>
  </si>
  <si>
    <t>Previous major floods in 2002 and improvements in flood protection and management meant damage less in some places; significant changes in policy since and moves to private insurance rather than State as main funder</t>
  </si>
  <si>
    <t xml:space="preserve">Kick started major reviews by Pitt and Bonfield plus significant investment in flood protection and changes in policy; private insurance funded household and business recovery   </t>
  </si>
  <si>
    <t>Severe monsoon season; environmental concerns about over development along Yangtze; most caualties from mudslides; little impact on agricultual production</t>
  </si>
  <si>
    <t>Creation of Office of National Reconstruction (ONR) outside the legally established agencies unhelpful; Parish Disaster Committees, were expected to have, but lacked, the  capacity for assessment and response; big hit for agricultural production</t>
  </si>
  <si>
    <t>Private household insurnace reduced recovery time by 1 year over familes recieving governments grants</t>
  </si>
  <si>
    <t xml:space="preserve">Collapse of adobe structures caused high casualties; dates producing area; never fully recovered; many housing plots still vacant because owners </t>
  </si>
  <si>
    <t>Huge disaster; Massive international aid slowed recovery in some places like Thailand; influx of new people kick started economy</t>
  </si>
  <si>
    <t xml:space="preserve">High death toll, especially of school childre, caused by poor construction; army suffered high casualities which affected command and control in a military state; complicated by Kashmir conflict; plans for relocate Balakot thwarted; Speciall agency EERA; hopes of building back better unrealised </t>
  </si>
  <si>
    <t xml:space="preserve">Rapid recovery;massive aid effort from unaffected cities in south;  issues that rapid rebuilding insensitive to special environmental and cultural character of region; </t>
  </si>
  <si>
    <t>Stagnant regional economy; lack of cooperation between various local authorities - municiplaity, province and region; inappropriate intervention by Berlusconi central govewrnment in relocating displaced to new distant settlement; ancient city centre 'moth-balled'; heroic effort by fire brigade to scaffold and preserve historic buildings</t>
  </si>
  <si>
    <t xml:space="preserve">Fast response by central govt to prepare national plan and legislate for funding; delegating implementation to regional government who set up team of archiects and planners to plan and manage reconstruction; exemplorary community involvement; effort to provide temporary accommodation for local businesses; </t>
  </si>
  <si>
    <t xml:space="preserve">Severe liquifaction in Avon valley has meant large residential area red zones and then abandoned; city centre decimated; businesses relocated to 6 periferal commercial centres; v high level of insurance; minister advocated demolition of heritage masonry buildings; many after shocks created  intense complexity to resolve claims  </t>
  </si>
  <si>
    <t xml:space="preserve">Severe shock to highly prepared country that imagined it was protected; high death toll in Sendai plain area; Iwate province already in demographic and economic decline; plans to relocate people from small ports deemed as unviable and consolidation of settlements thwarted by requirment to consult and reach concensus  withelderly men </t>
  </si>
  <si>
    <t>Modertae earthquake in fast east away from main centres of power; Kurdish area; compicated by Kurdish separatist movement; new Toki housing constructed very quickly with no regard for local ways of life or architecture; safety of repair compromised by corruption</t>
  </si>
  <si>
    <t xml:space="preserve">High death toll from poor constrcution in both rural and urban areas; Earthquake advice to crawl under a table meant that many killed when they ran back indoors rather than staying safe outside; compensation to rebuild hampered by corruption; </t>
  </si>
  <si>
    <t xml:space="preserve">High death toll from heavy stone roofs and removal of internal sheer walls; </t>
  </si>
  <si>
    <t>Massive death toll; chaotic; lack of effective government; lack of datato measure impact, assess need or track recovery. Many NGOs involved in recovery</t>
  </si>
  <si>
    <t>Also UK with similar recovery speed and quality</t>
  </si>
  <si>
    <t>Lack of information; 20,000 houses were destroyed. Officially, there were 462 dead, but the number may have reached 700. In the face of Salazar's apathy, 5,000 students helped the victims. A movement that marked a generatio</t>
  </si>
  <si>
    <t>Lasted from May to August; worst flood since 1927; floodwall saved St Louis; impacts lasted for years; 17 million acres flooded; barge traffic stopped for 2 months; one or worst disaster in US history; yet more homes built on flood plains and little done to reinforce levees post disaster</t>
  </si>
  <si>
    <t>Very poor</t>
  </si>
  <si>
    <t>Poor</t>
  </si>
  <si>
    <t>Very good</t>
  </si>
  <si>
    <t>Good</t>
  </si>
  <si>
    <t>Quality of recovery management and decision making</t>
  </si>
  <si>
    <t>Floods on Han River every 5 years; flood control, especially dams, has reduced risk; people cope with trafiic jams and loss of water supply</t>
  </si>
  <si>
    <t>Monsoon rains/ tropical storms from mid-June culminating in Haiyan in November</t>
  </si>
  <si>
    <t>warning from India Meteorological Dept not widely disseminated</t>
  </si>
  <si>
    <t>Mediocre</t>
  </si>
  <si>
    <t>Overwhelming loss of life; Government failure to act swiftly and effectively; big international aid effort; cover up; 5 ministers resigned; evidence of corruption</t>
  </si>
  <si>
    <t>Known in Philippines as Oniang, Kadena Air Base was badly damaged; Heavy flooding and landslides</t>
  </si>
  <si>
    <t>Local and State Govt overwhelmed; Criticism of FEMA; Damage caused by faulty construction; 1 day warning; Improved building codes - storm shutters or impct resistant glass; Burmese python escapees populate Everglades</t>
  </si>
  <si>
    <t>Occured at midnight; tsunami 3-5 minutes after quake; high death toll from lack of awareness; still no hazard maps 35 years later</t>
  </si>
  <si>
    <t>Insurance</t>
  </si>
  <si>
    <t>What proportion insurance comprised of total external funding</t>
  </si>
  <si>
    <t>Negligible</t>
  </si>
  <si>
    <t>Negligible - Critical</t>
  </si>
  <si>
    <t>Scale</t>
  </si>
  <si>
    <t>Local</t>
  </si>
  <si>
    <t>Regional</t>
  </si>
  <si>
    <t>Hazard Magnitude Normalised</t>
  </si>
  <si>
    <t>Assumption</t>
  </si>
  <si>
    <t>Resourcing - Confidence</t>
  </si>
  <si>
    <t>Insurance Contribution to Recovery Outcome</t>
  </si>
  <si>
    <t>Role of Insurance</t>
  </si>
  <si>
    <t>Recovery - Insurance</t>
  </si>
  <si>
    <t>Confidence of the author's qualitative assessment of resourcing (i.e. evaluation of speed, adequacy &amp; role of insurance) - to be used as confidence interval</t>
  </si>
  <si>
    <t>The Economist Democracy Index 2018</t>
  </si>
  <si>
    <t>Important</t>
  </si>
  <si>
    <t>Small</t>
  </si>
  <si>
    <t>Miniimal</t>
  </si>
  <si>
    <t>Govt grants for poorest based on level of damage; Agriculture and fisheries hit hardest and little Govt aid or incentives to recover; Country experiencing rapid economic growth</t>
  </si>
  <si>
    <t>Crucial</t>
  </si>
  <si>
    <t>N/A</t>
  </si>
  <si>
    <t>The extent to which financial aid was sufficiently and equitably delivered to those in need</t>
  </si>
  <si>
    <t>Affected entire S part of Japan; 1 of 5 major typhoons in 2004 causing widesread flooding</t>
  </si>
  <si>
    <t>V. dangerious winds will produce some damage</t>
  </si>
  <si>
    <t>Extremely dangerous winds will cause extensive damage</t>
  </si>
  <si>
    <t>Dvastating damage will occur</t>
  </si>
  <si>
    <t>Catastrophic damage will occur</t>
  </si>
  <si>
    <t>Extremely catastrophic damage will occur</t>
  </si>
  <si>
    <t>Extremely catastrophic damage</t>
  </si>
  <si>
    <t>Catastrophic damage</t>
  </si>
  <si>
    <t>Severe damage</t>
  </si>
  <si>
    <t>Moderate damage</t>
  </si>
  <si>
    <t>TROPICAL CYCLONE</t>
  </si>
  <si>
    <t>EARTHQUAKE</t>
  </si>
  <si>
    <t>6.0 - 6.9</t>
  </si>
  <si>
    <t>7.0 - 7.9</t>
  </si>
  <si>
    <t>May cause a lot of damage in very populated areas</t>
  </si>
  <si>
    <t>Major earthquake. Serious damage</t>
  </si>
  <si>
    <t>Great earthquake. Can totally destroy communities near the epicenter</t>
  </si>
  <si>
    <t>http://www.geo.mtu.edu/UPSeis/magnitude.html</t>
  </si>
  <si>
    <t>5.5 - 5.9</t>
  </si>
  <si>
    <t>&lt; 5.4</t>
  </si>
  <si>
    <t>Damage to buildings and other structures</t>
  </si>
  <si>
    <t>Minor damage</t>
  </si>
  <si>
    <t>Typical hazard effects</t>
  </si>
  <si>
    <t>code</t>
  </si>
  <si>
    <t>1-min max sustained wind speed km/h</t>
  </si>
  <si>
    <t>  119–153 km/h  </t>
  </si>
  <si>
    <t>  154–177 km/h  </t>
  </si>
  <si>
    <t>  178–208 km/h  </t>
  </si>
  <si>
    <t>  209–251 km/h  </t>
  </si>
  <si>
    <t>≥ 252 km/h  </t>
  </si>
  <si>
    <t>Max Gust 172 km/h</t>
  </si>
  <si>
    <t>Max Gust 95 km/h</t>
  </si>
  <si>
    <t>Max Gust 150-200 km/h</t>
  </si>
  <si>
    <t>Max Gust 184 km/h</t>
  </si>
  <si>
    <t>Max Gust 216 km/h</t>
  </si>
  <si>
    <t>Max Gust 228 km/h</t>
  </si>
  <si>
    <t>Anhui, Hubei (esp. Wuhan), Hunan, Jiangsu, Zhejiang, Jiangxi, Henan, Shandong</t>
  </si>
  <si>
    <t>FLOOD</t>
  </si>
  <si>
    <t>Potential damage scale</t>
  </si>
  <si>
    <t>180,000 km2; max water leve 16 m (Wuhan); av. 1.7 m above Shanghai Bund</t>
  </si>
  <si>
    <t>Max water Evansville, Indiana (16 m); Cincinnati (24 m); Louisville (17 m); Paducah, Kentucky (18 m)</t>
  </si>
  <si>
    <t>Acion stage</t>
  </si>
  <si>
    <t>Moderate flood stage</t>
  </si>
  <si>
    <t>Major flood stage</t>
  </si>
  <si>
    <t>Water surface generally near or slightly above top of banks, but no man-made structures flooded</t>
  </si>
  <si>
    <t>RIVER</t>
  </si>
  <si>
    <t>Elevated tides &amp; minor inundation of low-lying beach</t>
  </si>
  <si>
    <t>Minor flooding, few buildings expected to be inundated, often raods, parklands, etc. inundated</t>
  </si>
  <si>
    <t>Overwash on shoreline raods; beach-front intfrastructure impacted</t>
  </si>
  <si>
    <t>Inundation of buildings; roads closes; evacuation may be necessary</t>
  </si>
  <si>
    <t>Flooding coastal areas; shoreline roads &amp; beaches inundated; coastal structures damaged/destroyed</t>
  </si>
  <si>
    <t>Water surges over man-made defences; large, destructive waves destroy weak structures &amp; severely damage well-built homes &amp; businesses; if at high time, impacts felt well inland; if low lying, entire cities can be inundated</t>
  </si>
  <si>
    <t>Minor flood stage</t>
  </si>
  <si>
    <t>Significant to catastrophic, life-threatening flooding; extensive, with some low-lying areas completely inundataed; structures completely submerged; large scale evacuations</t>
  </si>
  <si>
    <t>Difficult; based on flood extent, max water level, reported return period; some degree of relativity included</t>
  </si>
  <si>
    <t>Extremely catastrophic, siginificant life-threat; total inundation across extensive areas (e.g. whole cities); structures completely submerged and destroyed; large scale evacuations</t>
  </si>
  <si>
    <t>Water surges over man-made defences; large, destructive waves destroy weak structures &amp; severely damage well-built homes &amp; businesses; if at high time, impacts felt well inland</t>
  </si>
  <si>
    <t>STAGE</t>
  </si>
  <si>
    <t>Kamamoto city 70% inundated; 2.5-3 m</t>
  </si>
  <si>
    <t>Max water 5.6 m AMSL; 50% Netherlands &lt;1 m AMSL</t>
  </si>
  <si>
    <t>flood wave overtop dam in 250 m high wave</t>
  </si>
  <si>
    <t>1:50 RP</t>
  </si>
  <si>
    <t>&gt;1:100 yr rainfall</t>
  </si>
  <si>
    <t>Seoul; Kyonggi, Kangwon, North Chungchong</t>
  </si>
  <si>
    <t>200cm rainfall in &lt;2hr; &lt;1:200 yr</t>
  </si>
  <si>
    <t>Seoul 45cm rainfall</t>
  </si>
  <si>
    <t>area 52,720km2</t>
  </si>
  <si>
    <t>Lisbon</t>
  </si>
  <si>
    <t>Rio; Piaui state, Ceara state</t>
  </si>
  <si>
    <t>246mm rainfall overnight (95mm annual average)</t>
  </si>
  <si>
    <t>area 830,000km2; in such paces as St Louis, river levels 6m above flood stage</t>
  </si>
  <si>
    <t>6.65 m in Trestno</t>
  </si>
  <si>
    <t>Rio State</t>
  </si>
  <si>
    <t>Rainfall over n. Thailand 344% above mean; metres depth</t>
  </si>
  <si>
    <t>Northern Thailand</t>
  </si>
  <si>
    <t>Mississippi &amp; Missouri</t>
  </si>
  <si>
    <t>30% Nation</t>
  </si>
  <si>
    <t>Vargas State</t>
  </si>
  <si>
    <t>Brahmaputra river</t>
  </si>
  <si>
    <t>Uttarakhand; North India</t>
  </si>
  <si>
    <t>Max Gust 240 km/h</t>
  </si>
  <si>
    <t>Preparedness</t>
  </si>
  <si>
    <t>Level of societal disaster preparedness in terms of warnings and communication, mitigation, disaster management, coordination, planning, legislation, resourcing</t>
  </si>
  <si>
    <t>Completely unprepared</t>
  </si>
  <si>
    <t>Unprepared</t>
  </si>
  <si>
    <t>Somewhat prepared</t>
  </si>
  <si>
    <t>Well prepared</t>
  </si>
  <si>
    <t>Very well prepared</t>
  </si>
  <si>
    <t>Historic structures sustained most damage, earthquake resistant structures performed well; number of coastal towns destroyed by tsunami where deathtoll would have been much greater if occurred in summer holiday; salination of agricultural areas</t>
  </si>
  <si>
    <t>E</t>
  </si>
  <si>
    <t>F</t>
  </si>
  <si>
    <t>G</t>
  </si>
  <si>
    <t>Service-Dominated Economy</t>
  </si>
  <si>
    <t>Service-Oriented Economy</t>
  </si>
  <si>
    <t>Service with Industry</t>
  </si>
  <si>
    <t>Service with Industrial/Ag Mix</t>
  </si>
  <si>
    <t>Industrial-Oriented Economy</t>
  </si>
  <si>
    <t>Industry with Service</t>
  </si>
  <si>
    <t>Agriculture with Industry &amp; Service</t>
  </si>
  <si>
    <t>Type</t>
  </si>
  <si>
    <t>Geophysical</t>
  </si>
  <si>
    <t xml:space="preserve">Climate </t>
  </si>
  <si>
    <t>Load Index</t>
  </si>
  <si>
    <t>Economic (Loss/1000000) * Fatalities</t>
  </si>
  <si>
    <t>DRM Index</t>
  </si>
  <si>
    <t>(Scientific basis+Preparedness+Experience) * Decision Quality</t>
  </si>
  <si>
    <t>Community Involvement Index</t>
  </si>
  <si>
    <t>State of Democracy * Public Participation</t>
  </si>
  <si>
    <t>Recovery Index</t>
  </si>
  <si>
    <t>(Economy Speed * Social Speed) / (Economy Quality * Safety * Amenity)</t>
  </si>
  <si>
    <t>EconomySpeed - Months</t>
  </si>
  <si>
    <t>SocietySpeed - Months</t>
  </si>
  <si>
    <t>Iran</t>
  </si>
  <si>
    <t>Society total</t>
  </si>
  <si>
    <t>Agricultural</t>
  </si>
  <si>
    <t>Service-Oriented</t>
  </si>
  <si>
    <t>Service-Dominated</t>
  </si>
  <si>
    <t>&gt;75% Services</t>
  </si>
  <si>
    <t xml:space="preserve">Service-Oriented </t>
  </si>
  <si>
    <t>50-75% Services</t>
  </si>
  <si>
    <t>Industry-Oriented</t>
  </si>
  <si>
    <t>≥50% Industry</t>
  </si>
  <si>
    <t xml:space="preserve">Industry with Services </t>
  </si>
  <si>
    <t>Industry ≥33%, Services ≥50%</t>
  </si>
  <si>
    <t>Agriculture Oriented</t>
  </si>
  <si>
    <t>≥50% Agriculture</t>
  </si>
  <si>
    <t xml:space="preserve">Agriculture and Servcies </t>
  </si>
  <si>
    <t>Agriculture ≥40%, Services ≥40%</t>
  </si>
  <si>
    <t>Mixed</t>
  </si>
  <si>
    <t>All other</t>
  </si>
  <si>
    <t>Agriculture with Service</t>
  </si>
  <si>
    <t>Taiwan</t>
  </si>
  <si>
    <t>Venezuela</t>
  </si>
  <si>
    <t>Economy Type 2</t>
  </si>
  <si>
    <t>Index</t>
  </si>
  <si>
    <t> Albania</t>
  </si>
  <si>
    <t> Algeria</t>
  </si>
  <si>
    <t> Angola</t>
  </si>
  <si>
    <t> Argentina</t>
  </si>
  <si>
    <t> Armenia</t>
  </si>
  <si>
    <t> Australia</t>
  </si>
  <si>
    <t> Austria</t>
  </si>
  <si>
    <t> Azerbaijan</t>
  </si>
  <si>
    <t> The Bahamas</t>
  </si>
  <si>
    <t> Bahrain</t>
  </si>
  <si>
    <t> Bangladesh</t>
  </si>
  <si>
    <t> Barbados</t>
  </si>
  <si>
    <t> Belarus</t>
  </si>
  <si>
    <t> Belgium</t>
  </si>
  <si>
    <t> Belize</t>
  </si>
  <si>
    <t> Benin</t>
  </si>
  <si>
    <t> Bhutan</t>
  </si>
  <si>
    <t> Bolivia</t>
  </si>
  <si>
    <t> Bosnia and Herzegovina</t>
  </si>
  <si>
    <t> Botswana</t>
  </si>
  <si>
    <t> Brazil</t>
  </si>
  <si>
    <t> Brunei Darussalam</t>
  </si>
  <si>
    <t> Bulgaria</t>
  </si>
  <si>
    <t> Burkina Faso</t>
  </si>
  <si>
    <t> Burundi</t>
  </si>
  <si>
    <t> Cabo Verde</t>
  </si>
  <si>
    <t> Cambodia</t>
  </si>
  <si>
    <t> Cameroon</t>
  </si>
  <si>
    <t> Canada</t>
  </si>
  <si>
    <t> Central African Republic</t>
  </si>
  <si>
    <t> Chad</t>
  </si>
  <si>
    <t> Chile</t>
  </si>
  <si>
    <t> China</t>
  </si>
  <si>
    <t> Colombia</t>
  </si>
  <si>
    <t> Comoros</t>
  </si>
  <si>
    <t> Democratic Republic of Congo</t>
  </si>
  <si>
    <t> Costa Rica</t>
  </si>
  <si>
    <t> Côte d'Ivoire</t>
  </si>
  <si>
    <t> Croatia</t>
  </si>
  <si>
    <t> Cuba</t>
  </si>
  <si>
    <t> Cyprus</t>
  </si>
  <si>
    <t> Czech Republic</t>
  </si>
  <si>
    <t> Denmark</t>
  </si>
  <si>
    <t> Djibouti</t>
  </si>
  <si>
    <t> Dominica</t>
  </si>
  <si>
    <t> Dominican Republic</t>
  </si>
  <si>
    <t> Ecuador</t>
  </si>
  <si>
    <t> Egypt</t>
  </si>
  <si>
    <t> El Salvador</t>
  </si>
  <si>
    <t> Equatorial Guinea</t>
  </si>
  <si>
    <t> Eritrea</t>
  </si>
  <si>
    <t> Estonia</t>
  </si>
  <si>
    <t> Ethiopia</t>
  </si>
  <si>
    <t> Fiji</t>
  </si>
  <si>
    <t> Finland</t>
  </si>
  <si>
    <t> France</t>
  </si>
  <si>
    <t> Gabon</t>
  </si>
  <si>
    <t> The Gambia</t>
  </si>
  <si>
    <t> Georgia</t>
  </si>
  <si>
    <t> Germany</t>
  </si>
  <si>
    <t> Ghana</t>
  </si>
  <si>
    <t> Greece</t>
  </si>
  <si>
    <t> Guatemala</t>
  </si>
  <si>
    <t> Guinea</t>
  </si>
  <si>
    <t> Guinea-Bissau</t>
  </si>
  <si>
    <t> Guyana</t>
  </si>
  <si>
    <t> Haiti</t>
  </si>
  <si>
    <t> Honduras</t>
  </si>
  <si>
    <t> Hong Kong</t>
  </si>
  <si>
    <t> Hungary</t>
  </si>
  <si>
    <t> Iceland</t>
  </si>
  <si>
    <t> India</t>
  </si>
  <si>
    <t> Indonesia</t>
  </si>
  <si>
    <t> Iran</t>
  </si>
  <si>
    <t> Ireland</t>
  </si>
  <si>
    <t> Israel</t>
  </si>
  <si>
    <t> Italy</t>
  </si>
  <si>
    <t> Jamaica</t>
  </si>
  <si>
    <t> Japan</t>
  </si>
  <si>
    <t> Jordan</t>
  </si>
  <si>
    <t> Kazakhstan</t>
  </si>
  <si>
    <t> Kenya</t>
  </si>
  <si>
    <t> Kiribati</t>
  </si>
  <si>
    <t> North Korea</t>
  </si>
  <si>
    <t> South Korea</t>
  </si>
  <si>
    <t> Kosovo</t>
  </si>
  <si>
    <t> Kuwait</t>
  </si>
  <si>
    <t> Kyrgyz Republic</t>
  </si>
  <si>
    <t> Laos</t>
  </si>
  <si>
    <t> Latvia</t>
  </si>
  <si>
    <t> Lebanon</t>
  </si>
  <si>
    <t> Lesotho</t>
  </si>
  <si>
    <t> Liberia</t>
  </si>
  <si>
    <t> Lithuania</t>
  </si>
  <si>
    <t> Luxembourg</t>
  </si>
  <si>
    <t> Macau, China</t>
  </si>
  <si>
    <t> Madagascar</t>
  </si>
  <si>
    <t> Malawi</t>
  </si>
  <si>
    <t> Malaysia</t>
  </si>
  <si>
    <t> Maldives</t>
  </si>
  <si>
    <t> Mali</t>
  </si>
  <si>
    <t> Malta</t>
  </si>
  <si>
    <t> Mauritania</t>
  </si>
  <si>
    <t> Mauritius</t>
  </si>
  <si>
    <t> Mexico</t>
  </si>
  <si>
    <t> Micronesia</t>
  </si>
  <si>
    <t> Moldova</t>
  </si>
  <si>
    <t> Mongolia</t>
  </si>
  <si>
    <t> Montenegro</t>
  </si>
  <si>
    <t> Morocco</t>
  </si>
  <si>
    <t> Mozambique</t>
  </si>
  <si>
    <t> Myanmar</t>
  </si>
  <si>
    <t> Namibia</t>
  </si>
  <si>
    <t xml:space="preserve"> Nepal</t>
  </si>
  <si>
    <t> Netherlands</t>
  </si>
  <si>
    <t> New Zealand</t>
  </si>
  <si>
    <t> Nicaragua</t>
  </si>
  <si>
    <t> Niger</t>
  </si>
  <si>
    <t> Nigeria</t>
  </si>
  <si>
    <t> North Macedonia</t>
  </si>
  <si>
    <t> Norway</t>
  </si>
  <si>
    <t> Oman</t>
  </si>
  <si>
    <t> Pakistan</t>
  </si>
  <si>
    <t> Panama</t>
  </si>
  <si>
    <t> Papua New Guinea</t>
  </si>
  <si>
    <t> Paraguay</t>
  </si>
  <si>
    <t> Peru</t>
  </si>
  <si>
    <t> Philippines</t>
  </si>
  <si>
    <t> Poland</t>
  </si>
  <si>
    <t> Portugal</t>
  </si>
  <si>
    <t> Qatar</t>
  </si>
  <si>
    <t> Republic of Congo</t>
  </si>
  <si>
    <t> Romania</t>
  </si>
  <si>
    <t> Russia</t>
  </si>
  <si>
    <t> Rwanda</t>
  </si>
  <si>
    <t> Saint Lucia</t>
  </si>
  <si>
    <t> Saint Vincent and the Grenadines</t>
  </si>
  <si>
    <t> Samoa</t>
  </si>
  <si>
    <t> São Tomé and Príncipe</t>
  </si>
  <si>
    <t> Saudi Arabia</t>
  </si>
  <si>
    <t> Senegal</t>
  </si>
  <si>
    <t> Serbia</t>
  </si>
  <si>
    <t> Seychelles</t>
  </si>
  <si>
    <t> Sierra Leone</t>
  </si>
  <si>
    <t> Singapore</t>
  </si>
  <si>
    <t> Slovakia</t>
  </si>
  <si>
    <t> Slovenia</t>
  </si>
  <si>
    <t> Solomon Islands</t>
  </si>
  <si>
    <t> South Africa</t>
  </si>
  <si>
    <t> Spain</t>
  </si>
  <si>
    <t> Sri Lanka</t>
  </si>
  <si>
    <t> Sudan</t>
  </si>
  <si>
    <t> Suriname</t>
  </si>
  <si>
    <t> Eswatini</t>
  </si>
  <si>
    <t> Sweden</t>
  </si>
  <si>
    <t>  Switzerland</t>
  </si>
  <si>
    <t> Taiwan</t>
  </si>
  <si>
    <t> Tajikistan</t>
  </si>
  <si>
    <t> Thailand</t>
  </si>
  <si>
    <t> Timor-Leste</t>
  </si>
  <si>
    <t> Togo</t>
  </si>
  <si>
    <t> Tonga</t>
  </si>
  <si>
    <t> Trinidad and Tobago</t>
  </si>
  <si>
    <t> Tunisia</t>
  </si>
  <si>
    <t> Turkey</t>
  </si>
  <si>
    <t> Turkmenistan</t>
  </si>
  <si>
    <t> Uganda</t>
  </si>
  <si>
    <t> Ukraine</t>
  </si>
  <si>
    <t> United Arab Emirates</t>
  </si>
  <si>
    <t> United Kingdom</t>
  </si>
  <si>
    <t> United States</t>
  </si>
  <si>
    <t> Uruguay</t>
  </si>
  <si>
    <t> Uzbekistan</t>
  </si>
  <si>
    <t> Vanuatu</t>
  </si>
  <si>
    <t> Venezuela</t>
  </si>
  <si>
    <t> Vietnam</t>
  </si>
  <si>
    <t> Zambia</t>
  </si>
  <si>
    <t> Zimbabwe</t>
  </si>
  <si>
    <r>
      <t xml:space="preserve">The Economist Democracy Index 2018 </t>
    </r>
    <r>
      <rPr>
        <i/>
        <sz val="11"/>
        <rFont val="Calibri"/>
        <family val="2"/>
        <scheme val="minor"/>
      </rPr>
      <t>https://en.wikipedia.org/wiki/Democracy_Index</t>
    </r>
  </si>
  <si>
    <t>Economic Freedom</t>
  </si>
  <si>
    <t>Economy 2</t>
  </si>
  <si>
    <t>Tsunami caused most damage; 'tsunami earthquake'  bigger than expected given size of earthquake and no warning; arrived 20 minutes after quake; field survey by japan team from Tohoku led by Iamamua</t>
  </si>
  <si>
    <t>Unregulated urban development; HIV epidemic</t>
  </si>
  <si>
    <t>Poor urban planning, recent huge refugee problem</t>
  </si>
  <si>
    <t xml:space="preserve">The floods exacerbated the underlying problems of poverty, unemployment, food insecurity, fresh water supply, health and communication problems. The lack of development in the private insurance markets in Bangladesh has impeded speedy recovery of large industries after floods.  Consequently, the central government is responsible for a major share of post-disaster the costs of immediate relief. </t>
  </si>
  <si>
    <t xml:space="preserve">Lack of flood prevention measures, early-warning systems and weak recovery planning processes were cited as chief reasons for the disaster impacts. Agriculture and tourism were the worst affected sectors and this had a significant impact on the regional economy. The floods also exposed political fragilities including the failure of the state to provide timely relief. </t>
  </si>
  <si>
    <t>The hurricane trio had a wide-range of effects on the energy sector, housing, infrastructure, construction and, travel and tourism sectors in the Gulf states of the USA. The storms revealed several fundamental flaws in the management of hurricanes characterized by inept disaster response and inefficiencies in administration of aid after Katrina.</t>
  </si>
  <si>
    <t>Sandy the US insurance industry’s second costliest natural disaster. High-value, commercial properties, public infrastructure, and business losses comprised a large proportion of the insured total, while the federal National Flood Insurance Program (NFIP)</t>
  </si>
  <si>
    <t>Speed of funding</t>
  </si>
  <si>
    <t>Adequacy funding</t>
  </si>
  <si>
    <t>Corruption perceptions index:  higher the score the less corruption  100=zero corruption</t>
  </si>
  <si>
    <t>Years to ≥90% Permanent Housing Recovery</t>
  </si>
  <si>
    <t>Key Reference</t>
  </si>
  <si>
    <t>3–4 years</t>
  </si>
  <si>
    <t>Khan</t>
  </si>
  <si>
    <t>4–5 years</t>
  </si>
  <si>
    <t>Fussell</t>
  </si>
  <si>
    <t>5–7 years</t>
  </si>
  <si>
    <t>Comerio</t>
  </si>
  <si>
    <t>UNDP (2015). "India Floods: Recovery and Resilience."</t>
  </si>
  <si>
    <t>4–6 years</t>
  </si>
  <si>
    <t>Nguyen</t>
  </si>
  <si>
    <t>Asian Development Bank (2018). "Typhoon Damrey Recovery Report."</t>
  </si>
  <si>
    <t>2–3 years</t>
  </si>
  <si>
    <t>Kreibich</t>
  </si>
  <si>
    <t>2–2.5 years</t>
  </si>
  <si>
    <t>Thorne</t>
  </si>
  <si>
    <t>JMA (2007). "Typhoon Tokage: Lessons in Disaster Recovery."</t>
  </si>
  <si>
    <t>China Ministry of Water Resources (2013). "2010 China Floods Recovery Report."</t>
  </si>
  <si>
    <t>6–7 years</t>
  </si>
  <si>
    <t>World Bank (2005). "Hurricane Mitch: Reconstruction Challenges."</t>
  </si>
  <si>
    <t>Bahamas</t>
  </si>
  <si>
    <t>NOAA (2006). "Hurricane Frances Impact Assessment."</t>
  </si>
  <si>
    <t>World Bank (2006). "Hurricane Ivan Recovery Report."</t>
  </si>
  <si>
    <t>USGS (2004). "Bam Earthquake Recovery."</t>
  </si>
  <si>
    <t>6–8 years</t>
  </si>
  <si>
    <t>UNDP (2010). "Tsunami Reconstruction Report."</t>
  </si>
  <si>
    <t>Hilhorst</t>
  </si>
  <si>
    <t>5–6 years</t>
  </si>
  <si>
    <t>Wang</t>
  </si>
  <si>
    <t>Alexander</t>
  </si>
  <si>
    <t>USGS (2013). "Chile Earthquake Housing Reconstruction."</t>
  </si>
  <si>
    <t>Canterbury Earthquake Authority (2018). "Rebuilding Christchurch."</t>
  </si>
  <si>
    <t>7–8 years</t>
  </si>
  <si>
    <t>Baba</t>
  </si>
  <si>
    <t>Erdik</t>
  </si>
  <si>
    <t>Hallegatte</t>
  </si>
  <si>
    <t>Shaw</t>
  </si>
  <si>
    <t>8–10+ years</t>
  </si>
  <si>
    <t>Bilham</t>
  </si>
  <si>
    <t>UNDP (2013). "Mentawai Earthquake Recovery Report."</t>
  </si>
  <si>
    <t>Chen</t>
  </si>
  <si>
    <t>US Army Corps of Engineers (1940). "Ohio River Flood Recovery."</t>
  </si>
  <si>
    <t>Chinese Ministry of Water Resources (1945). "1939 China Floods and Reconstruction."</t>
  </si>
  <si>
    <t>UNDP (1953). "Guatemala Floods: Housing and Infrastructure Recovery."</t>
  </si>
  <si>
    <t>JMA (1956). "North Kyushu Floods: Disaster Response and Housing Recovery."</t>
  </si>
  <si>
    <t>van der Veen</t>
  </si>
  <si>
    <t>UNESCO (1960). "Iran Summer Floods: Impact on Housing and Reconstruction."</t>
  </si>
  <si>
    <t>Spanish National Research Council (1965). "Rubi Floods: Recovery and Adaptation."</t>
  </si>
  <si>
    <t>Boschi</t>
  </si>
  <si>
    <t>UNDP (1970). "Jordan Floods: Housing Reconstruction Efforts."</t>
  </si>
  <si>
    <t>European Commission (1972). "Lisbon Floods: Impact and Housing Recovery."</t>
  </si>
  <si>
    <t>Korea</t>
  </si>
  <si>
    <t>Ahmed</t>
  </si>
  <si>
    <t>World Bank (1992). "Rio Floods: Housing &amp; Infrastructure Recovery."</t>
  </si>
  <si>
    <t>UNDP (1995). "Malawi Floods: Disaster Recovery &amp; Housing Reconstruction."</t>
  </si>
  <si>
    <t>FEMA (1995). "Great Midwest Flood Recovery."</t>
  </si>
  <si>
    <t>UNDP (2003). "Vargas Tragedy: Housing Recovery and Infrastructure."</t>
  </si>
  <si>
    <t>Australian Government (2013). "Queensland Flood Recovery Report."</t>
  </si>
  <si>
    <t>European Commission (2014). "Central European Floods: Housing Reconstruction."</t>
  </si>
  <si>
    <t>UN-Habitat (2016). "Rio Floods: Disaster Response &amp; Housing Recovery."</t>
  </si>
  <si>
    <t>World Bank (2015). "Thailand Floods: Housing Recovery &amp; Resilience."</t>
  </si>
  <si>
    <t>UNDP (2017). "India Floods: Housing Recovery &amp; Disaster Resilience."</t>
  </si>
  <si>
    <t>Asian Development Bank (2018). "Philippines Floods: Recovery Efforts."</t>
  </si>
  <si>
    <t>China Meteorological Administration (1940). "Great Hong Kong Typhoon: Impact &amp; Recovery."</t>
  </si>
  <si>
    <t>Indian Government Archives (1947). "Chennai Flood Recovery &amp; Housing Reconstruction."</t>
  </si>
  <si>
    <t>Asian Disaster Preparedness Center (1990). "Typhoon Cecil: Recovery Lessons."</t>
  </si>
  <si>
    <t>Chinese Academy of Sciences (1980). "Typhoon Nina: Impact on Housing &amp; Infrastructure."</t>
  </si>
  <si>
    <t>India Meteorological Department (1982). "Andhra Pradesh Cyclone: Recovery &amp; Housing."</t>
  </si>
  <si>
    <t>NOAA (1993). "Hurricane Hugo: Disaster Response &amp; Housing Recovery."</t>
  </si>
  <si>
    <t>Met Office UK (1994). "Storm Daria: Housing Recovery &amp; Infrastructure."</t>
  </si>
  <si>
    <t>JMA (1995). "Typhoon Mireille: Recovery Lessons &amp; Housing Reconstruction."</t>
  </si>
  <si>
    <t>NOAA (1996). "Hurricane Andrew: Recovery and Housing Reconstruction."</t>
  </si>
  <si>
    <t>UNDP (1997). "Tropical Storm Bret: Disaster Recovery."</t>
  </si>
  <si>
    <t>European Commission (2003). "Cyclones Lothar &amp; Martin: Infrastructure &amp; Housing Recovery."</t>
  </si>
  <si>
    <t>FEMA (2003). "Hurricane Floyd: Impact and Housing Recovery."</t>
  </si>
  <si>
    <t>JMA (2004). "Typhoon Bart: Lessons in Disaster Recovery."</t>
  </si>
  <si>
    <t>Danish Meteorological Institute (2003). "Cyclone Anatol: Housing &amp; Infrastructure Recovery."</t>
  </si>
  <si>
    <t>World Bank (2010). "Hurricane Jeanne: Housing and Infrastructure Recovery."</t>
  </si>
  <si>
    <t>UNDP (2013). "Cyclone Nargis: Recovery and Resilience."</t>
  </si>
  <si>
    <t>European Weather Institute (2012). "Cyclone Klaus: Disaster Response &amp; Housing."</t>
  </si>
  <si>
    <t>UNDP (2012). "Cyclone Xynthia: Recovery and Infrastructure."</t>
  </si>
  <si>
    <t>USGS (1910). "Ecuador-Colombia Earthquake Impact Study."</t>
  </si>
  <si>
    <t>8–10 years</t>
  </si>
  <si>
    <t>Zhang</t>
  </si>
  <si>
    <t>USGS (1928). "Vallenar Earthquake &amp; Tsunami Recovery."</t>
  </si>
  <si>
    <t>Yoshii</t>
  </si>
  <si>
    <t>UNESCO (1952). "Ashgabat Earthquake Reconstruction."</t>
  </si>
  <si>
    <t>GSI (1955). "1950 Assam Earthquake: Impacts and Reconstruction."</t>
  </si>
  <si>
    <t>USSR Geological Survey (1957). "Kamchatka Earthquake Impact Study."</t>
  </si>
  <si>
    <t>USGS (1970). "Valdivia Earthquake &amp; Tsunami: Recovery Challenges."</t>
  </si>
  <si>
    <t>Hansen</t>
  </si>
  <si>
    <t>USGS (1976). "Ancash Earthquake: Housing and Reconstruction."</t>
  </si>
  <si>
    <t>USGS (1990). "Armenian Earthquake Recovery."</t>
  </si>
  <si>
    <t>Berberian</t>
  </si>
  <si>
    <t>UNDP (2007). "Boumerdès Earthquake: Housing Reconstruction."</t>
  </si>
  <si>
    <t>USGS (2008). "Sumatra Earthquake and Tsunami Reconstruction."</t>
  </si>
  <si>
    <t>UNDP (2011). "Indonesia Earthquake Recovery."</t>
  </si>
  <si>
    <t>Tanaka</t>
  </si>
  <si>
    <t>Hellenic Seismological Institute (1960). "Amorgos Earthquake Housing Recovery."</t>
  </si>
  <si>
    <t>PHIVOLCS (1980). "Moro Gulf Earthquake: Post-Disaster Assessment."</t>
  </si>
  <si>
    <t>UNDP (1985). "Tumaco Earthquake Housing Reconstruction."</t>
  </si>
  <si>
    <t>UNDP (1997). "Nicaragua Earthquake Recovery Report."</t>
  </si>
  <si>
    <t>Japan Meteorological Agency (1998). "Hokkaidō Earthquake Recovery."</t>
  </si>
  <si>
    <t>UNDP (2003). "Papua New Guinea Earthquake Housing Recovery."</t>
  </si>
  <si>
    <t>USGS (2006). "Southern Peru Earthquake Housing Reconstruction."</t>
  </si>
  <si>
    <t>UNDP (2011). "Pangandaran Earthquake Recovery."</t>
  </si>
  <si>
    <t>UNDP (2011). "Solomon Islands Earthquake Housing Recovery."</t>
  </si>
  <si>
    <t>UNDP (2015). "Samoa Earthquake &amp; Tsunami Housing Recovery."</t>
  </si>
  <si>
    <t>Korean Meteorological Administration (1976). "Seoul Kyonggi Floods: Housing and Infrastructure Recovery."</t>
  </si>
  <si>
    <t>UNDP (1999). "North Korea Floods &amp; Food Security Recovery."</t>
  </si>
  <si>
    <t>UNDP (2005). "Typhoon Prapiroon: Housing Reconstruction."</t>
  </si>
  <si>
    <t>Taiwan Meteorological Bureau (2014). "Typhoon Morakot: Housing Recovery."</t>
  </si>
  <si>
    <t>DEVIATION</t>
  </si>
  <si>
    <t>ABS Deviation</t>
  </si>
  <si>
    <t>AVERAGE</t>
  </si>
  <si>
    <t>AVERAGE HIGH CONFIDENCE</t>
  </si>
  <si>
    <t>Average</t>
  </si>
  <si>
    <t>Min</t>
  </si>
  <si>
    <t>Max</t>
  </si>
  <si>
    <t>Economic Growth cat</t>
  </si>
  <si>
    <t>Growing</t>
  </si>
  <si>
    <t>Stable</t>
  </si>
  <si>
    <t>Contracting</t>
  </si>
  <si>
    <t>Economy - Quality Coded</t>
  </si>
  <si>
    <t>Society - Amenity Coded</t>
  </si>
  <si>
    <t>Society - Safety Coded</t>
  </si>
  <si>
    <t>8.3 Mw</t>
  </si>
  <si>
    <t>8.1 Mw</t>
  </si>
  <si>
    <t>Speed of Recovery</t>
  </si>
  <si>
    <t>Quality of recovery</t>
  </si>
  <si>
    <t xml:space="preserve">Confidence estimate </t>
  </si>
  <si>
    <t>DAMAGE CLASSIFICATION</t>
  </si>
  <si>
    <t>≥8</t>
  </si>
  <si>
    <t>Manual</t>
  </si>
  <si>
    <t>AI</t>
  </si>
  <si>
    <t>COMPARISON Speed of Societal recovery as defined by time in years for ≥90% residents to return to permanent accommodation</t>
  </si>
  <si>
    <t>Manual estimates produced by research team from field study and desk work compared with Ai estimates by ChatGPT  based on internet search of over 2000 references</t>
  </si>
  <si>
    <t>Climate or Geophysical</t>
  </si>
  <si>
    <t xml:space="preserve">Climate (Weather related) or Geophysical </t>
  </si>
  <si>
    <t>As Economy Type but with specific percentages defined by World Bank World Development Indicators (see worksheet WB–Economy)</t>
  </si>
  <si>
    <t>The Economist Democracy Index 2018 https://en.wikipedia.org/wiki/Democracy_Index (see worksheet Countries)</t>
  </si>
  <si>
    <t>Categorization of country based on whether the GDP Growth is Stable, Growing or Contracting</t>
  </si>
  <si>
    <t xml:space="preserve">Median value of Economy - Speed category </t>
  </si>
  <si>
    <t>Month</t>
  </si>
  <si>
    <t>3 Categories</t>
  </si>
  <si>
    <t>Society - Speed - Months</t>
  </si>
  <si>
    <t xml:space="preserve">Median value of Society - Speed category </t>
  </si>
  <si>
    <t>Months</t>
  </si>
  <si>
    <t>Mean of Society - Amenity + Society - Safety</t>
  </si>
  <si>
    <t>https://wdi.worldbank.org/table/4.2</t>
  </si>
  <si>
    <t>World Development Indicators http://wdi.worldbank.org/table/4.2</t>
  </si>
  <si>
    <t xml:space="preserve">Economic Freedom </t>
  </si>
  <si>
    <t>Economic 2 based on the proportion of Agricultural, Service and Industry GDP</t>
  </si>
  <si>
    <t>Industrial</t>
  </si>
  <si>
    <t>Service</t>
  </si>
  <si>
    <t>AntiguaAndBarbuda</t>
  </si>
  <si>
    <t>BosniaAnd Herzegovina</t>
  </si>
  <si>
    <t>Brunei</t>
  </si>
  <si>
    <t>CentralAfrican Republic</t>
  </si>
  <si>
    <t>Congo, Democratic Republic of the</t>
  </si>
  <si>
    <t>Congo, Republic of the</t>
  </si>
  <si>
    <t>Cook Islands</t>
  </si>
  <si>
    <t>Cote d'Ivoire</t>
  </si>
  <si>
    <t>Curacao</t>
  </si>
  <si>
    <t>Egypt</t>
  </si>
  <si>
    <t>Guernsey</t>
  </si>
  <si>
    <t>Korea, North</t>
  </si>
  <si>
    <t>Korea, South</t>
  </si>
  <si>
    <t>Kyrgyzstan</t>
  </si>
  <si>
    <t>Laos</t>
  </si>
  <si>
    <t>Macau</t>
  </si>
  <si>
    <t>Micronesia, Federated States of</t>
  </si>
  <si>
    <t>Russia</t>
  </si>
  <si>
    <t>Sao TomeAnd Principe</t>
  </si>
  <si>
    <t>SaudiArabia</t>
  </si>
  <si>
    <t>Sint Maarten</t>
  </si>
  <si>
    <t>Slovakia</t>
  </si>
  <si>
    <t>SouthAfrica</t>
  </si>
  <si>
    <t>Saint KittsAnd Nevis</t>
  </si>
  <si>
    <t>Saint Lucia</t>
  </si>
  <si>
    <t>Saint Martin</t>
  </si>
  <si>
    <t>Saint VincentAnd the Grenadines</t>
  </si>
  <si>
    <t>Syria</t>
  </si>
  <si>
    <t>Yemen</t>
  </si>
  <si>
    <t xml:space="preserve">World Bank list of economies (June 2018)  </t>
  </si>
  <si>
    <t>Definition of Economy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</si>
</sst>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0.0"/>
    <numFmt numFmtId="166" formatCode="0.0%"/>
    <numFmt numFmtId="167" formatCode="_-* #,##0_-;\-* #,##0_-;_-* &quot;-&quot;??_-;_-@_-"/>
  </numFmts>
  <fonts count="24" x14ac:knownFonts="1">
    <font>
      <sz val="11"/>
      <color theme="1"/>
      <name val="Calibri"/>
      <family val="2"/>
      <scheme val="minor"/>
    </font>
    <font>
      <sz val="11"/>
      <name val="Calibri"/>
      <family val="2"/>
      <scheme val="minor"/>
    </font>
    <font>
      <b/>
      <u/>
      <sz val="11"/>
      <color theme="1"/>
      <name val="Calibri"/>
      <family val="2"/>
      <scheme val="minor"/>
    </font>
    <font>
      <sz val="11"/>
      <color indexed="8"/>
      <name val="Calibri"/>
      <family val="2"/>
      <scheme val="minor"/>
    </font>
    <font>
      <u/>
      <sz val="11"/>
      <color theme="10"/>
      <name val="Calibri"/>
      <family val="2"/>
      <scheme val="minor"/>
    </font>
    <font>
      <sz val="11"/>
      <color theme="1"/>
      <name val="Calibri"/>
      <family val="2"/>
      <scheme val="minor"/>
    </font>
    <font>
      <u/>
      <sz val="11"/>
      <color theme="11"/>
      <name val="Calibri"/>
      <family val="2"/>
      <scheme val="minor"/>
    </font>
    <font>
      <sz val="8"/>
      <name val="Calibri"/>
      <family val="2"/>
      <scheme val="minor"/>
    </font>
    <font>
      <b/>
      <u/>
      <sz val="11"/>
      <name val="Calibri"/>
      <family val="2"/>
      <scheme val="minor"/>
    </font>
    <font>
      <b/>
      <sz val="11"/>
      <name val="Calibri"/>
      <family val="2"/>
      <scheme val="minor"/>
    </font>
    <font>
      <i/>
      <sz val="11"/>
      <name val="Calibri"/>
      <family val="2"/>
      <scheme val="minor"/>
    </font>
    <font>
      <sz val="11"/>
      <color rgb="FF000000"/>
      <name val="Calibri"/>
      <family val="2"/>
      <scheme val="minor"/>
    </font>
    <font>
      <sz val="11"/>
      <color rgb="FF222222"/>
      <name val="Calibri"/>
      <family val="2"/>
      <scheme val="minor"/>
    </font>
    <font>
      <sz val="11"/>
      <name val="Calibri (Body)"/>
    </font>
    <font>
      <b/>
      <sz val="11"/>
      <name val="Calibri (Body)"/>
    </font>
    <font>
      <u/>
      <sz val="11"/>
      <name val="Calibri (Body)"/>
    </font>
    <font>
      <sz val="11"/>
      <color rgb="FF505050"/>
      <name val="Calibri"/>
      <family val="2"/>
      <scheme val="minor"/>
    </font>
    <font>
      <b/>
      <sz val="11"/>
      <color rgb="FF505050"/>
      <name val="Calibri"/>
      <family val="2"/>
      <scheme val="minor"/>
    </font>
    <font>
      <b/>
      <sz val="11"/>
      <color theme="1"/>
      <name val="Calibri"/>
      <family val="2"/>
      <scheme val="minor"/>
    </font>
    <font>
      <sz val="10"/>
      <color rgb="FF000000"/>
      <name val="Arial"/>
      <family val="2"/>
    </font>
    <font>
      <b/>
      <sz val="10"/>
      <color rgb="FF000000"/>
      <name val="Arial"/>
      <family val="2"/>
    </font>
    <font>
      <b/>
      <sz val="11"/>
      <name val="Arial"/>
      <family val="2"/>
    </font>
    <font>
      <sz val="11"/>
      <name val="Arial"/>
      <family val="2"/>
    </font>
    <font>
      <b/>
      <sz val="11"/>
      <color rgb="FF000000"/>
      <name val="Arial"/>
      <family val="2"/>
    </font>
  </fonts>
  <fills count="9">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EDE2F6"/>
        <bgColor indexed="64"/>
      </patternFill>
    </fill>
  </fills>
  <borders count="21">
    <border>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style="medium">
        <color theme="5"/>
      </left>
      <right/>
      <top style="medium">
        <color theme="5"/>
      </top>
      <bottom/>
      <diagonal/>
    </border>
    <border>
      <left/>
      <right/>
      <top style="medium">
        <color theme="5"/>
      </top>
      <bottom/>
      <diagonal/>
    </border>
    <border>
      <left/>
      <right style="medium">
        <color theme="5"/>
      </right>
      <top style="medium">
        <color theme="5"/>
      </top>
      <bottom/>
      <diagonal/>
    </border>
    <border>
      <left style="medium">
        <color theme="5"/>
      </left>
      <right/>
      <top/>
      <bottom/>
      <diagonal/>
    </border>
    <border>
      <left/>
      <right style="medium">
        <color theme="5"/>
      </right>
      <top/>
      <bottom/>
      <diagonal/>
    </border>
    <border>
      <left style="medium">
        <color theme="5"/>
      </left>
      <right/>
      <top/>
      <bottom style="medium">
        <color theme="5"/>
      </bottom>
      <diagonal/>
    </border>
    <border>
      <left/>
      <right/>
      <top/>
      <bottom style="medium">
        <color theme="5"/>
      </bottom>
      <diagonal/>
    </border>
    <border>
      <left/>
      <right style="medium">
        <color theme="5"/>
      </right>
      <top/>
      <bottom style="medium">
        <color theme="5"/>
      </bottom>
      <diagonal/>
    </border>
    <border>
      <left style="medium">
        <color rgb="FFFFB715"/>
      </left>
      <right/>
      <top/>
      <bottom/>
      <diagonal/>
    </border>
  </borders>
  <cellStyleXfs count="1019">
    <xf numFmtId="0" fontId="0" fillId="0" borderId="0"/>
    <xf numFmtId="0" fontId="3" fillId="0" borderId="0"/>
    <xf numFmtId="0" fontId="4" fillId="0" borderId="0" applyNumberFormat="0" applyFill="0" applyBorder="0" applyAlignment="0" applyProtection="0"/>
    <xf numFmtId="9" fontId="5"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164" fontId="5"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cellStyleXfs>
  <cellXfs count="115">
    <xf numFmtId="0" fontId="0" fillId="0" borderId="0" xfId="0"/>
    <xf numFmtId="0" fontId="1" fillId="0" borderId="0" xfId="0" applyFont="1"/>
    <xf numFmtId="0" fontId="1" fillId="0" borderId="0" xfId="0" applyFont="1" applyAlignment="1">
      <alignment horizontal="right"/>
    </xf>
    <xf numFmtId="0" fontId="0" fillId="0" borderId="15" xfId="0" applyBorder="1"/>
    <xf numFmtId="0" fontId="0" fillId="0" borderId="17" xfId="0" applyBorder="1"/>
    <xf numFmtId="0" fontId="0" fillId="0" borderId="18" xfId="0" applyBorder="1"/>
    <xf numFmtId="0" fontId="8" fillId="0" borderId="0" xfId="0" applyFont="1"/>
    <xf numFmtId="0" fontId="0" fillId="0" borderId="0" xfId="0" applyAlignment="1">
      <alignment horizontal="right"/>
    </xf>
    <xf numFmtId="0" fontId="1" fillId="8" borderId="11" xfId="0" applyFont="1" applyFill="1" applyBorder="1" applyAlignment="1">
      <alignment vertical="top"/>
    </xf>
    <xf numFmtId="0" fontId="0" fillId="7" borderId="11" xfId="0" applyFill="1" applyBorder="1" applyAlignment="1">
      <alignment horizontal="left" vertical="top"/>
    </xf>
    <xf numFmtId="0" fontId="11" fillId="0" borderId="0" xfId="0" applyFont="1"/>
    <xf numFmtId="0" fontId="12" fillId="0" borderId="0" xfId="0" applyFont="1"/>
    <xf numFmtId="166" fontId="0" fillId="0" borderId="0" xfId="3" applyNumberFormat="1" applyFont="1" applyFill="1"/>
    <xf numFmtId="167" fontId="0" fillId="0" borderId="0" xfId="1010" applyNumberFormat="1" applyFont="1" applyFill="1"/>
    <xf numFmtId="167" fontId="1" fillId="0" borderId="0" xfId="1010" applyNumberFormat="1" applyFont="1" applyFill="1"/>
    <xf numFmtId="165" fontId="0" fillId="0" borderId="0" xfId="0" applyNumberFormat="1"/>
    <xf numFmtId="0" fontId="0" fillId="0" borderId="0" xfId="0" applyAlignment="1">
      <alignment vertical="top"/>
    </xf>
    <xf numFmtId="166" fontId="0" fillId="0" borderId="0" xfId="0" applyNumberFormat="1"/>
    <xf numFmtId="165" fontId="1" fillId="0" borderId="0" xfId="0" applyNumberFormat="1" applyFont="1"/>
    <xf numFmtId="0" fontId="13" fillId="0" borderId="0" xfId="0" applyFont="1"/>
    <xf numFmtId="0" fontId="14" fillId="0" borderId="4" xfId="0" applyFont="1" applyBorder="1"/>
    <xf numFmtId="0" fontId="14" fillId="0" borderId="7" xfId="0" applyFont="1" applyBorder="1"/>
    <xf numFmtId="0" fontId="13" fillId="0" borderId="10" xfId="0" applyFont="1" applyBorder="1" applyAlignment="1">
      <alignment horizontal="left" vertical="top"/>
    </xf>
    <xf numFmtId="0" fontId="13" fillId="0" borderId="10" xfId="0" applyFont="1" applyBorder="1"/>
    <xf numFmtId="0" fontId="14" fillId="0" borderId="10" xfId="0" applyFont="1" applyBorder="1"/>
    <xf numFmtId="0" fontId="13" fillId="0" borderId="11" xfId="0" applyFont="1" applyBorder="1"/>
    <xf numFmtId="0" fontId="14" fillId="0" borderId="5" xfId="0" applyFont="1" applyBorder="1"/>
    <xf numFmtId="0" fontId="14" fillId="0" borderId="6" xfId="0" applyFont="1" applyBorder="1"/>
    <xf numFmtId="0" fontId="13" fillId="0" borderId="8" xfId="0" applyFont="1" applyBorder="1" applyAlignment="1">
      <alignment horizontal="left"/>
    </xf>
    <xf numFmtId="0" fontId="13" fillId="0" borderId="8" xfId="0" applyFont="1" applyBorder="1"/>
    <xf numFmtId="0" fontId="14" fillId="0" borderId="9" xfId="0" applyFont="1" applyBorder="1"/>
    <xf numFmtId="0" fontId="14" fillId="0" borderId="8" xfId="0" applyFont="1" applyBorder="1"/>
    <xf numFmtId="0" fontId="13" fillId="0" borderId="0" xfId="0" applyFont="1" applyAlignment="1">
      <alignment horizontal="left"/>
    </xf>
    <xf numFmtId="0" fontId="14" fillId="0" borderId="1" xfId="0" applyFont="1" applyBorder="1"/>
    <xf numFmtId="0" fontId="13" fillId="0" borderId="1" xfId="0" applyFont="1" applyBorder="1"/>
    <xf numFmtId="0" fontId="13" fillId="0" borderId="2" xfId="0" applyFont="1" applyBorder="1" applyAlignment="1">
      <alignment horizontal="left"/>
    </xf>
    <xf numFmtId="0" fontId="13" fillId="0" borderId="2" xfId="0" applyFont="1" applyBorder="1"/>
    <xf numFmtId="0" fontId="14" fillId="0" borderId="3" xfId="0" applyFont="1" applyBorder="1"/>
    <xf numFmtId="0" fontId="15" fillId="0" borderId="0" xfId="2" applyFont="1" applyFill="1" applyBorder="1"/>
    <xf numFmtId="0" fontId="13" fillId="0" borderId="9" xfId="0" applyFont="1" applyBorder="1"/>
    <xf numFmtId="0" fontId="13" fillId="0" borderId="3" xfId="0" applyFont="1" applyBorder="1"/>
    <xf numFmtId="0" fontId="14" fillId="0" borderId="0" xfId="0" applyFont="1"/>
    <xf numFmtId="0" fontId="9" fillId="0" borderId="0" xfId="0" applyFont="1"/>
    <xf numFmtId="0" fontId="9" fillId="0" borderId="15" xfId="0" applyFont="1" applyBorder="1"/>
    <xf numFmtId="0" fontId="8" fillId="0" borderId="12" xfId="0" applyFont="1" applyBorder="1"/>
    <xf numFmtId="0" fontId="1" fillId="0" borderId="13" xfId="0" applyFont="1" applyBorder="1"/>
    <xf numFmtId="0" fontId="0" fillId="0" borderId="8" xfId="0" applyBorder="1" applyAlignment="1">
      <alignment vertical="top"/>
    </xf>
    <xf numFmtId="0" fontId="0" fillId="0" borderId="2" xfId="0" applyBorder="1" applyAlignment="1">
      <alignment vertical="top"/>
    </xf>
    <xf numFmtId="0" fontId="1" fillId="0" borderId="8" xfId="0" applyFont="1" applyBorder="1" applyAlignment="1">
      <alignment vertical="top"/>
    </xf>
    <xf numFmtId="0" fontId="1" fillId="0" borderId="0" xfId="0" applyFont="1" applyAlignment="1">
      <alignment vertical="top"/>
    </xf>
    <xf numFmtId="0" fontId="1" fillId="0" borderId="2" xfId="0" applyFont="1" applyBorder="1" applyAlignment="1">
      <alignment vertical="top"/>
    </xf>
    <xf numFmtId="0" fontId="0" fillId="0" borderId="2" xfId="0" applyBorder="1" applyAlignment="1">
      <alignment vertical="top" wrapText="1"/>
    </xf>
    <xf numFmtId="0" fontId="0" fillId="0" borderId="2" xfId="0" applyBorder="1" applyAlignment="1">
      <alignment horizontal="left" vertical="top"/>
    </xf>
    <xf numFmtId="0" fontId="0" fillId="0" borderId="3" xfId="0" applyBorder="1" applyAlignment="1">
      <alignment vertical="top" wrapText="1"/>
    </xf>
    <xf numFmtId="0" fontId="1" fillId="0" borderId="0" xfId="0" applyFont="1" applyAlignment="1">
      <alignment vertical="top" wrapText="1"/>
    </xf>
    <xf numFmtId="0" fontId="0" fillId="0" borderId="0" xfId="0" applyAlignment="1">
      <alignment horizontal="left" vertical="top"/>
    </xf>
    <xf numFmtId="0" fontId="0" fillId="0" borderId="1" xfId="0" applyBorder="1" applyAlignment="1">
      <alignment vertical="top" wrapText="1"/>
    </xf>
    <xf numFmtId="0" fontId="2" fillId="0" borderId="0" xfId="0" applyFont="1" applyAlignment="1">
      <alignment vertical="top"/>
    </xf>
    <xf numFmtId="0" fontId="17" fillId="0" borderId="7" xfId="0" applyFont="1" applyBorder="1" applyAlignment="1">
      <alignment vertical="top"/>
    </xf>
    <xf numFmtId="0" fontId="17" fillId="0" borderId="8" xfId="0" applyFont="1" applyBorder="1" applyAlignment="1">
      <alignment vertical="top"/>
    </xf>
    <xf numFmtId="0" fontId="17" fillId="0" borderId="8" xfId="0" applyFont="1" applyBorder="1" applyAlignment="1">
      <alignment horizontal="left" vertical="top"/>
    </xf>
    <xf numFmtId="0" fontId="17" fillId="0" borderId="9" xfId="0" applyFont="1" applyBorder="1" applyAlignment="1">
      <alignment vertical="top"/>
    </xf>
    <xf numFmtId="0" fontId="16" fillId="0" borderId="0" xfId="0" applyFont="1" applyAlignment="1">
      <alignment vertical="top"/>
    </xf>
    <xf numFmtId="0" fontId="0" fillId="0" borderId="8" xfId="0" applyBorder="1" applyAlignment="1">
      <alignment vertical="top" wrapText="1"/>
    </xf>
    <xf numFmtId="0" fontId="0" fillId="0" borderId="8" xfId="0" applyBorder="1" applyAlignment="1">
      <alignment horizontal="left" vertical="top"/>
    </xf>
    <xf numFmtId="0" fontId="0" fillId="0" borderId="9" xfId="0" applyBorder="1" applyAlignment="1">
      <alignment vertical="top" wrapText="1"/>
    </xf>
    <xf numFmtId="0" fontId="0" fillId="0" borderId="0" xfId="0" applyAlignment="1">
      <alignment vertical="top" wrapText="1"/>
    </xf>
    <xf numFmtId="0" fontId="11" fillId="0" borderId="0" xfId="0" applyFont="1" applyAlignment="1">
      <alignment vertical="top"/>
    </xf>
    <xf numFmtId="0" fontId="0" fillId="0" borderId="0" xfId="0" quotePrefix="1" applyAlignment="1">
      <alignment vertical="top"/>
    </xf>
    <xf numFmtId="0" fontId="0" fillId="0" borderId="3" xfId="0" applyBorder="1" applyAlignment="1">
      <alignment vertical="top"/>
    </xf>
    <xf numFmtId="1" fontId="0" fillId="0" borderId="0" xfId="0" applyNumberFormat="1" applyAlignment="1">
      <alignment vertical="top"/>
    </xf>
    <xf numFmtId="0" fontId="19" fillId="0" borderId="0" xfId="0" applyFont="1" applyAlignment="1">
      <alignment vertical="center"/>
    </xf>
    <xf numFmtId="0" fontId="20" fillId="0" borderId="0" xfId="0" applyFont="1" applyAlignment="1">
      <alignment vertical="center"/>
    </xf>
    <xf numFmtId="0" fontId="18" fillId="0" borderId="0" xfId="0" applyFont="1"/>
    <xf numFmtId="0" fontId="9" fillId="0" borderId="0" xfId="0" applyFont="1" applyAlignment="1">
      <alignment horizontal="right"/>
    </xf>
    <xf numFmtId="0" fontId="0" fillId="2" borderId="7"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0" fillId="5" borderId="7" xfId="0" applyFill="1" applyBorder="1" applyAlignment="1">
      <alignment horizontal="left" vertical="top"/>
    </xf>
    <xf numFmtId="0" fontId="0" fillId="5" borderId="10" xfId="0" applyFill="1" applyBorder="1" applyAlignment="1">
      <alignment horizontal="left" vertical="top"/>
    </xf>
    <xf numFmtId="0" fontId="0" fillId="5" borderId="11" xfId="0" applyFill="1" applyBorder="1" applyAlignment="1">
      <alignment horizontal="left" vertical="top"/>
    </xf>
    <xf numFmtId="0" fontId="0" fillId="8" borderId="7" xfId="0" applyFill="1" applyBorder="1" applyAlignment="1">
      <alignment horizontal="left" vertical="top"/>
    </xf>
    <xf numFmtId="0" fontId="0" fillId="8" borderId="10" xfId="0" applyFill="1" applyBorder="1" applyAlignment="1">
      <alignment horizontal="left" vertical="top"/>
    </xf>
    <xf numFmtId="0" fontId="0" fillId="3" borderId="7" xfId="0" applyFill="1" applyBorder="1" applyAlignment="1">
      <alignment horizontal="left" vertical="top"/>
    </xf>
    <xf numFmtId="0" fontId="0" fillId="3" borderId="10" xfId="0" applyFill="1" applyBorder="1" applyAlignment="1">
      <alignment horizontal="left" vertical="top"/>
    </xf>
    <xf numFmtId="0" fontId="0" fillId="3" borderId="11" xfId="0" applyFill="1" applyBorder="1" applyAlignment="1">
      <alignment horizontal="left" vertical="top"/>
    </xf>
    <xf numFmtId="0" fontId="0" fillId="4" borderId="7" xfId="0" applyFill="1" applyBorder="1" applyAlignment="1">
      <alignment horizontal="left" vertical="top"/>
    </xf>
    <xf numFmtId="0" fontId="0" fillId="4" borderId="10" xfId="0" applyFill="1" applyBorder="1" applyAlignment="1">
      <alignment horizontal="left" vertical="top"/>
    </xf>
    <xf numFmtId="0" fontId="0" fillId="4" borderId="11" xfId="0" applyFill="1" applyBorder="1" applyAlignment="1">
      <alignment horizontal="left" vertical="top"/>
    </xf>
    <xf numFmtId="0" fontId="0" fillId="6" borderId="7" xfId="0" applyFill="1" applyBorder="1" applyAlignment="1">
      <alignment horizontal="left" vertical="top"/>
    </xf>
    <xf numFmtId="0" fontId="0" fillId="6" borderId="10" xfId="0" applyFill="1" applyBorder="1" applyAlignment="1">
      <alignment horizontal="left" vertical="top"/>
    </xf>
    <xf numFmtId="0" fontId="0" fillId="6" borderId="11" xfId="0" applyFill="1" applyBorder="1" applyAlignment="1">
      <alignment horizontal="left" vertical="top"/>
    </xf>
    <xf numFmtId="0" fontId="0" fillId="7" borderId="7" xfId="0" applyFill="1" applyBorder="1" applyAlignment="1">
      <alignment horizontal="left" vertical="top"/>
    </xf>
    <xf numFmtId="0" fontId="0" fillId="7" borderId="10" xfId="0" applyFill="1" applyBorder="1" applyAlignment="1">
      <alignment horizontal="left" vertical="top"/>
    </xf>
    <xf numFmtId="0" fontId="13" fillId="0" borderId="7" xfId="0" applyFont="1" applyBorder="1" applyAlignment="1">
      <alignment horizontal="left" vertical="top"/>
    </xf>
    <xf numFmtId="0" fontId="13" fillId="0" borderId="10" xfId="0" applyFont="1" applyBorder="1" applyAlignment="1">
      <alignment horizontal="left" vertical="top"/>
    </xf>
    <xf numFmtId="0" fontId="13" fillId="0" borderId="11" xfId="0" applyFont="1" applyBorder="1" applyAlignment="1">
      <alignment horizontal="left" vertical="top"/>
    </xf>
    <xf numFmtId="0" fontId="13" fillId="0" borderId="8" xfId="0" applyFont="1" applyBorder="1" applyAlignment="1">
      <alignment horizontal="left" vertical="top"/>
    </xf>
    <xf numFmtId="0" fontId="13" fillId="0" borderId="0" xfId="0" applyFont="1" applyAlignment="1">
      <alignment horizontal="left" vertical="top"/>
    </xf>
    <xf numFmtId="0" fontId="13" fillId="0" borderId="2" xfId="0" applyFont="1" applyBorder="1" applyAlignment="1">
      <alignment horizontal="left" vertical="top"/>
    </xf>
    <xf numFmtId="166" fontId="21" fillId="0" borderId="0" xfId="0" applyNumberFormat="1" applyFont="1"/>
    <xf numFmtId="0" fontId="21" fillId="0" borderId="0" xfId="0" applyFont="1"/>
    <xf numFmtId="166" fontId="22" fillId="0" borderId="0" xfId="0" applyNumberFormat="1" applyFont="1"/>
    <xf numFmtId="166" fontId="21" fillId="0" borderId="0" xfId="0" applyNumberFormat="1" applyFont="1" applyAlignment="1">
      <alignment horizontal="right"/>
    </xf>
    <xf numFmtId="0" fontId="23" fillId="0" borderId="0" xfId="0" applyFont="1" applyAlignment="1">
      <alignment vertical="center"/>
    </xf>
    <xf numFmtId="0" fontId="0" fillId="0" borderId="0" xfId="0" applyFont="1"/>
    <xf numFmtId="0" fontId="1" fillId="0" borderId="0" xfId="2" applyFont="1"/>
    <xf numFmtId="0" fontId="9" fillId="0" borderId="20" xfId="0" applyFont="1" applyBorder="1"/>
    <xf numFmtId="49" fontId="21" fillId="0" borderId="20" xfId="0" applyNumberFormat="1" applyFont="1" applyBorder="1"/>
    <xf numFmtId="49" fontId="0" fillId="0" borderId="20" xfId="0" applyNumberFormat="1" applyBorder="1"/>
    <xf numFmtId="0" fontId="0" fillId="0" borderId="20" xfId="0" applyBorder="1"/>
    <xf numFmtId="0" fontId="0" fillId="0" borderId="14" xfId="0" applyFont="1" applyBorder="1"/>
    <xf numFmtId="0" fontId="18" fillId="0" borderId="16" xfId="0" applyFont="1" applyBorder="1"/>
    <xf numFmtId="0" fontId="0" fillId="0" borderId="16" xfId="0" applyFont="1" applyBorder="1"/>
    <xf numFmtId="0" fontId="0" fillId="0" borderId="19" xfId="0" applyFont="1" applyBorder="1"/>
  </cellXfs>
  <cellStyles count="1019">
    <cellStyle name="Comma" xfId="1010" builtinId="3"/>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2" builtinId="9" hidden="1"/>
    <cellStyle name="Followed Hyperlink" xfId="493" builtinId="9" hidden="1"/>
    <cellStyle name="Followed Hyperlink" xfId="494" builtinId="9" hidden="1"/>
    <cellStyle name="Followed Hyperlink" xfId="495" builtinId="9" hidden="1"/>
    <cellStyle name="Followed Hyperlink" xfId="496" builtinId="9" hidden="1"/>
    <cellStyle name="Followed Hyperlink" xfId="497" builtinId="9" hidden="1"/>
    <cellStyle name="Followed Hyperlink" xfId="498" builtinId="9" hidden="1"/>
    <cellStyle name="Followed Hyperlink" xfId="499" builtinId="9" hidden="1"/>
    <cellStyle name="Followed Hyperlink" xfId="500" builtinId="9" hidden="1"/>
    <cellStyle name="Followed Hyperlink" xfId="501" builtinId="9" hidden="1"/>
    <cellStyle name="Followed Hyperlink" xfId="502" builtinId="9" hidden="1"/>
    <cellStyle name="Followed Hyperlink" xfId="503" builtinId="9" hidden="1"/>
    <cellStyle name="Followed Hyperlink" xfId="504" builtinId="9" hidden="1"/>
    <cellStyle name="Followed Hyperlink" xfId="505" builtinId="9" hidden="1"/>
    <cellStyle name="Followed Hyperlink" xfId="506" builtinId="9" hidden="1"/>
    <cellStyle name="Followed Hyperlink" xfId="507" builtinId="9" hidden="1"/>
    <cellStyle name="Followed Hyperlink" xfId="508" builtinId="9" hidden="1"/>
    <cellStyle name="Followed Hyperlink" xfId="509" builtinId="9" hidden="1"/>
    <cellStyle name="Followed Hyperlink" xfId="510" builtinId="9" hidden="1"/>
    <cellStyle name="Followed Hyperlink" xfId="511" builtinId="9" hidden="1"/>
    <cellStyle name="Followed Hyperlink" xfId="512" builtinId="9" hidden="1"/>
    <cellStyle name="Followed Hyperlink" xfId="513" builtinId="9" hidden="1"/>
    <cellStyle name="Followed Hyperlink" xfId="514" builtinId="9" hidden="1"/>
    <cellStyle name="Followed Hyperlink" xfId="515" builtinId="9" hidden="1"/>
    <cellStyle name="Followed Hyperlink" xfId="516" builtinId="9" hidden="1"/>
    <cellStyle name="Followed Hyperlink" xfId="517" builtinId="9" hidden="1"/>
    <cellStyle name="Followed Hyperlink" xfId="518" builtinId="9" hidden="1"/>
    <cellStyle name="Followed Hyperlink" xfId="519" builtinId="9" hidden="1"/>
    <cellStyle name="Followed Hyperlink" xfId="520" builtinId="9" hidden="1"/>
    <cellStyle name="Followed Hyperlink" xfId="521" builtinId="9" hidden="1"/>
    <cellStyle name="Followed Hyperlink" xfId="522" builtinId="9" hidden="1"/>
    <cellStyle name="Followed Hyperlink" xfId="523" builtinId="9" hidden="1"/>
    <cellStyle name="Followed Hyperlink" xfId="524" builtinId="9" hidden="1"/>
    <cellStyle name="Followed Hyperlink" xfId="525" builtinId="9" hidden="1"/>
    <cellStyle name="Followed Hyperlink" xfId="526" builtinId="9" hidden="1"/>
    <cellStyle name="Followed Hyperlink" xfId="527" builtinId="9" hidden="1"/>
    <cellStyle name="Followed Hyperlink" xfId="528" builtinId="9" hidden="1"/>
    <cellStyle name="Followed Hyperlink" xfId="529" builtinId="9" hidden="1"/>
    <cellStyle name="Followed Hyperlink" xfId="530" builtinId="9" hidden="1"/>
    <cellStyle name="Followed Hyperlink" xfId="531" builtinId="9" hidden="1"/>
    <cellStyle name="Followed Hyperlink" xfId="532" builtinId="9" hidden="1"/>
    <cellStyle name="Followed Hyperlink" xfId="533" builtinId="9" hidden="1"/>
    <cellStyle name="Followed Hyperlink" xfId="534" builtinId="9" hidden="1"/>
    <cellStyle name="Followed Hyperlink" xfId="535" builtinId="9" hidden="1"/>
    <cellStyle name="Followed Hyperlink" xfId="536" builtinId="9" hidden="1"/>
    <cellStyle name="Followed Hyperlink" xfId="537" builtinId="9" hidden="1"/>
    <cellStyle name="Followed Hyperlink" xfId="538" builtinId="9" hidden="1"/>
    <cellStyle name="Followed Hyperlink" xfId="539" builtinId="9" hidden="1"/>
    <cellStyle name="Followed Hyperlink" xfId="540" builtinId="9" hidden="1"/>
    <cellStyle name="Followed Hyperlink" xfId="541" builtinId="9" hidden="1"/>
    <cellStyle name="Followed Hyperlink" xfId="542" builtinId="9" hidden="1"/>
    <cellStyle name="Followed Hyperlink" xfId="543" builtinId="9" hidden="1"/>
    <cellStyle name="Followed Hyperlink" xfId="544" builtinId="9" hidden="1"/>
    <cellStyle name="Followed Hyperlink" xfId="545" builtinId="9" hidden="1"/>
    <cellStyle name="Followed Hyperlink" xfId="546" builtinId="9" hidden="1"/>
    <cellStyle name="Followed Hyperlink" xfId="547" builtinId="9" hidden="1"/>
    <cellStyle name="Followed Hyperlink" xfId="548" builtinId="9" hidden="1"/>
    <cellStyle name="Followed Hyperlink" xfId="549" builtinId="9" hidden="1"/>
    <cellStyle name="Followed Hyperlink" xfId="550" builtinId="9" hidden="1"/>
    <cellStyle name="Followed Hyperlink" xfId="551" builtinId="9" hidden="1"/>
    <cellStyle name="Followed Hyperlink" xfId="552" builtinId="9" hidden="1"/>
    <cellStyle name="Followed Hyperlink" xfId="553" builtinId="9" hidden="1"/>
    <cellStyle name="Followed Hyperlink" xfId="554" builtinId="9" hidden="1"/>
    <cellStyle name="Followed Hyperlink" xfId="555" builtinId="9" hidden="1"/>
    <cellStyle name="Followed Hyperlink" xfId="556" builtinId="9" hidden="1"/>
    <cellStyle name="Followed Hyperlink" xfId="557" builtinId="9" hidden="1"/>
    <cellStyle name="Followed Hyperlink" xfId="558" builtinId="9" hidden="1"/>
    <cellStyle name="Followed Hyperlink" xfId="559" builtinId="9" hidden="1"/>
    <cellStyle name="Followed Hyperlink" xfId="560" builtinId="9" hidden="1"/>
    <cellStyle name="Followed Hyperlink" xfId="561" builtinId="9" hidden="1"/>
    <cellStyle name="Followed Hyperlink" xfId="562" builtinId="9" hidden="1"/>
    <cellStyle name="Followed Hyperlink" xfId="563" builtinId="9" hidden="1"/>
    <cellStyle name="Followed Hyperlink" xfId="564" builtinId="9" hidden="1"/>
    <cellStyle name="Followed Hyperlink" xfId="565" builtinId="9" hidden="1"/>
    <cellStyle name="Followed Hyperlink" xfId="566" builtinId="9" hidden="1"/>
    <cellStyle name="Followed Hyperlink" xfId="567" builtinId="9" hidden="1"/>
    <cellStyle name="Followed Hyperlink" xfId="568" builtinId="9" hidden="1"/>
    <cellStyle name="Followed Hyperlink" xfId="569" builtinId="9" hidden="1"/>
    <cellStyle name="Followed Hyperlink" xfId="570" builtinId="9" hidden="1"/>
    <cellStyle name="Followed Hyperlink" xfId="571" builtinId="9" hidden="1"/>
    <cellStyle name="Followed Hyperlink" xfId="572" builtinId="9" hidden="1"/>
    <cellStyle name="Followed Hyperlink" xfId="573" builtinId="9" hidden="1"/>
    <cellStyle name="Followed Hyperlink" xfId="574" builtinId="9" hidden="1"/>
    <cellStyle name="Followed Hyperlink" xfId="575" builtinId="9" hidden="1"/>
    <cellStyle name="Followed Hyperlink" xfId="576" builtinId="9" hidden="1"/>
    <cellStyle name="Followed Hyperlink" xfId="577" builtinId="9" hidden="1"/>
    <cellStyle name="Followed Hyperlink" xfId="578" builtinId="9" hidden="1"/>
    <cellStyle name="Followed Hyperlink" xfId="579" builtinId="9" hidden="1"/>
    <cellStyle name="Followed Hyperlink" xfId="580" builtinId="9" hidden="1"/>
    <cellStyle name="Followed Hyperlink" xfId="581" builtinId="9" hidden="1"/>
    <cellStyle name="Followed Hyperlink" xfId="582" builtinId="9" hidden="1"/>
    <cellStyle name="Followed Hyperlink" xfId="583" builtinId="9" hidden="1"/>
    <cellStyle name="Followed Hyperlink" xfId="584" builtinId="9" hidden="1"/>
    <cellStyle name="Followed Hyperlink" xfId="585" builtinId="9" hidden="1"/>
    <cellStyle name="Followed Hyperlink" xfId="586" builtinId="9" hidden="1"/>
    <cellStyle name="Followed Hyperlink" xfId="587" builtinId="9" hidden="1"/>
    <cellStyle name="Followed Hyperlink" xfId="588" builtinId="9" hidden="1"/>
    <cellStyle name="Followed Hyperlink" xfId="589" builtinId="9" hidden="1"/>
    <cellStyle name="Followed Hyperlink" xfId="590" builtinId="9" hidden="1"/>
    <cellStyle name="Followed Hyperlink" xfId="591" builtinId="9" hidden="1"/>
    <cellStyle name="Followed Hyperlink" xfId="592" builtinId="9" hidden="1"/>
    <cellStyle name="Followed Hyperlink" xfId="593" builtinId="9" hidden="1"/>
    <cellStyle name="Followed Hyperlink" xfId="594" builtinId="9" hidden="1"/>
    <cellStyle name="Followed Hyperlink" xfId="595" builtinId="9" hidden="1"/>
    <cellStyle name="Followed Hyperlink" xfId="596" builtinId="9" hidden="1"/>
    <cellStyle name="Followed Hyperlink" xfId="597" builtinId="9" hidden="1"/>
    <cellStyle name="Followed Hyperlink" xfId="598" builtinId="9" hidden="1"/>
    <cellStyle name="Followed Hyperlink" xfId="599" builtinId="9" hidden="1"/>
    <cellStyle name="Followed Hyperlink" xfId="600" builtinId="9" hidden="1"/>
    <cellStyle name="Followed Hyperlink" xfId="601" builtinId="9" hidden="1"/>
    <cellStyle name="Followed Hyperlink" xfId="602" builtinId="9" hidden="1"/>
    <cellStyle name="Followed Hyperlink" xfId="603" builtinId="9" hidden="1"/>
    <cellStyle name="Followed Hyperlink" xfId="604" builtinId="9" hidden="1"/>
    <cellStyle name="Followed Hyperlink" xfId="605" builtinId="9" hidden="1"/>
    <cellStyle name="Followed Hyperlink" xfId="606" builtinId="9" hidden="1"/>
    <cellStyle name="Followed Hyperlink" xfId="607" builtinId="9" hidden="1"/>
    <cellStyle name="Followed Hyperlink" xfId="608" builtinId="9" hidden="1"/>
    <cellStyle name="Followed Hyperlink" xfId="609" builtinId="9" hidden="1"/>
    <cellStyle name="Followed Hyperlink" xfId="610" builtinId="9" hidden="1"/>
    <cellStyle name="Followed Hyperlink" xfId="611" builtinId="9" hidden="1"/>
    <cellStyle name="Followed Hyperlink" xfId="612" builtinId="9" hidden="1"/>
    <cellStyle name="Followed Hyperlink" xfId="613" builtinId="9" hidden="1"/>
    <cellStyle name="Followed Hyperlink" xfId="614" builtinId="9" hidden="1"/>
    <cellStyle name="Followed Hyperlink" xfId="615" builtinId="9" hidden="1"/>
    <cellStyle name="Followed Hyperlink" xfId="616" builtinId="9" hidden="1"/>
    <cellStyle name="Followed Hyperlink" xfId="617" builtinId="9" hidden="1"/>
    <cellStyle name="Followed Hyperlink" xfId="618" builtinId="9" hidden="1"/>
    <cellStyle name="Followed Hyperlink" xfId="619" builtinId="9" hidden="1"/>
    <cellStyle name="Followed Hyperlink" xfId="620" builtinId="9" hidden="1"/>
    <cellStyle name="Followed Hyperlink" xfId="621" builtinId="9" hidden="1"/>
    <cellStyle name="Followed Hyperlink" xfId="622" builtinId="9" hidden="1"/>
    <cellStyle name="Followed Hyperlink" xfId="623" builtinId="9" hidden="1"/>
    <cellStyle name="Followed Hyperlink" xfId="624" builtinId="9" hidden="1"/>
    <cellStyle name="Followed Hyperlink" xfId="625" builtinId="9" hidden="1"/>
    <cellStyle name="Followed Hyperlink" xfId="626" builtinId="9" hidden="1"/>
    <cellStyle name="Followed Hyperlink" xfId="627" builtinId="9" hidden="1"/>
    <cellStyle name="Followed Hyperlink" xfId="628" builtinId="9" hidden="1"/>
    <cellStyle name="Followed Hyperlink" xfId="629" builtinId="9" hidden="1"/>
    <cellStyle name="Followed Hyperlink" xfId="630" builtinId="9" hidden="1"/>
    <cellStyle name="Followed Hyperlink" xfId="631" builtinId="9" hidden="1"/>
    <cellStyle name="Followed Hyperlink" xfId="632" builtinId="9" hidden="1"/>
    <cellStyle name="Followed Hyperlink" xfId="633" builtinId="9" hidden="1"/>
    <cellStyle name="Followed Hyperlink" xfId="634" builtinId="9" hidden="1"/>
    <cellStyle name="Followed Hyperlink" xfId="635" builtinId="9" hidden="1"/>
    <cellStyle name="Followed Hyperlink" xfId="636" builtinId="9" hidden="1"/>
    <cellStyle name="Followed Hyperlink" xfId="637" builtinId="9" hidden="1"/>
    <cellStyle name="Followed Hyperlink" xfId="638" builtinId="9" hidden="1"/>
    <cellStyle name="Followed Hyperlink" xfId="639" builtinId="9" hidden="1"/>
    <cellStyle name="Followed Hyperlink" xfId="640" builtinId="9" hidden="1"/>
    <cellStyle name="Followed Hyperlink" xfId="641" builtinId="9" hidden="1"/>
    <cellStyle name="Followed Hyperlink" xfId="642" builtinId="9" hidden="1"/>
    <cellStyle name="Followed Hyperlink" xfId="643" builtinId="9" hidden="1"/>
    <cellStyle name="Followed Hyperlink" xfId="644" builtinId="9" hidden="1"/>
    <cellStyle name="Followed Hyperlink" xfId="645" builtinId="9" hidden="1"/>
    <cellStyle name="Followed Hyperlink" xfId="646" builtinId="9" hidden="1"/>
    <cellStyle name="Followed Hyperlink" xfId="647" builtinId="9" hidden="1"/>
    <cellStyle name="Followed Hyperlink" xfId="648" builtinId="9" hidden="1"/>
    <cellStyle name="Followed Hyperlink" xfId="649" builtinId="9" hidden="1"/>
    <cellStyle name="Followed Hyperlink" xfId="650" builtinId="9" hidden="1"/>
    <cellStyle name="Followed Hyperlink" xfId="651" builtinId="9" hidden="1"/>
    <cellStyle name="Followed Hyperlink" xfId="652" builtinId="9" hidden="1"/>
    <cellStyle name="Followed Hyperlink" xfId="653" builtinId="9" hidden="1"/>
    <cellStyle name="Followed Hyperlink" xfId="654" builtinId="9" hidden="1"/>
    <cellStyle name="Followed Hyperlink" xfId="655" builtinId="9" hidden="1"/>
    <cellStyle name="Followed Hyperlink" xfId="656" builtinId="9" hidden="1"/>
    <cellStyle name="Followed Hyperlink" xfId="657" builtinId="9" hidden="1"/>
    <cellStyle name="Followed Hyperlink" xfId="658" builtinId="9" hidden="1"/>
    <cellStyle name="Followed Hyperlink" xfId="659" builtinId="9" hidden="1"/>
    <cellStyle name="Followed Hyperlink" xfId="660" builtinId="9" hidden="1"/>
    <cellStyle name="Followed Hyperlink" xfId="661" builtinId="9" hidden="1"/>
    <cellStyle name="Followed Hyperlink" xfId="662" builtinId="9" hidden="1"/>
    <cellStyle name="Followed Hyperlink" xfId="663" builtinId="9" hidden="1"/>
    <cellStyle name="Followed Hyperlink" xfId="664" builtinId="9" hidden="1"/>
    <cellStyle name="Followed Hyperlink" xfId="665" builtinId="9" hidden="1"/>
    <cellStyle name="Followed Hyperlink" xfId="666" builtinId="9" hidden="1"/>
    <cellStyle name="Followed Hyperlink" xfId="667" builtinId="9" hidden="1"/>
    <cellStyle name="Followed Hyperlink" xfId="668" builtinId="9" hidden="1"/>
    <cellStyle name="Followed Hyperlink" xfId="669" builtinId="9" hidden="1"/>
    <cellStyle name="Followed Hyperlink" xfId="670" builtinId="9" hidden="1"/>
    <cellStyle name="Followed Hyperlink" xfId="671" builtinId="9" hidden="1"/>
    <cellStyle name="Followed Hyperlink" xfId="672" builtinId="9" hidden="1"/>
    <cellStyle name="Followed Hyperlink" xfId="673" builtinId="9" hidden="1"/>
    <cellStyle name="Followed Hyperlink" xfId="674" builtinId="9" hidden="1"/>
    <cellStyle name="Followed Hyperlink" xfId="675" builtinId="9" hidden="1"/>
    <cellStyle name="Followed Hyperlink" xfId="676" builtinId="9" hidden="1"/>
    <cellStyle name="Followed Hyperlink" xfId="677" builtinId="9" hidden="1"/>
    <cellStyle name="Followed Hyperlink" xfId="678" builtinId="9" hidden="1"/>
    <cellStyle name="Followed Hyperlink" xfId="679" builtinId="9" hidden="1"/>
    <cellStyle name="Followed Hyperlink" xfId="680" builtinId="9" hidden="1"/>
    <cellStyle name="Followed Hyperlink" xfId="681" builtinId="9" hidden="1"/>
    <cellStyle name="Followed Hyperlink" xfId="682" builtinId="9" hidden="1"/>
    <cellStyle name="Followed Hyperlink" xfId="683" builtinId="9" hidden="1"/>
    <cellStyle name="Followed Hyperlink" xfId="684" builtinId="9" hidden="1"/>
    <cellStyle name="Followed Hyperlink" xfId="685" builtinId="9" hidden="1"/>
    <cellStyle name="Followed Hyperlink" xfId="686" builtinId="9" hidden="1"/>
    <cellStyle name="Followed Hyperlink" xfId="687" builtinId="9" hidden="1"/>
    <cellStyle name="Followed Hyperlink" xfId="688" builtinId="9" hidden="1"/>
    <cellStyle name="Followed Hyperlink" xfId="689" builtinId="9" hidden="1"/>
    <cellStyle name="Followed Hyperlink" xfId="690" builtinId="9" hidden="1"/>
    <cellStyle name="Followed Hyperlink" xfId="691" builtinId="9" hidden="1"/>
    <cellStyle name="Followed Hyperlink" xfId="692" builtinId="9" hidden="1"/>
    <cellStyle name="Followed Hyperlink" xfId="693" builtinId="9" hidden="1"/>
    <cellStyle name="Followed Hyperlink" xfId="694" builtinId="9" hidden="1"/>
    <cellStyle name="Followed Hyperlink" xfId="695" builtinId="9" hidden="1"/>
    <cellStyle name="Followed Hyperlink" xfId="696" builtinId="9" hidden="1"/>
    <cellStyle name="Followed Hyperlink" xfId="697" builtinId="9" hidden="1"/>
    <cellStyle name="Followed Hyperlink" xfId="698" builtinId="9" hidden="1"/>
    <cellStyle name="Followed Hyperlink" xfId="699" builtinId="9" hidden="1"/>
    <cellStyle name="Followed Hyperlink" xfId="700" builtinId="9" hidden="1"/>
    <cellStyle name="Followed Hyperlink" xfId="701" builtinId="9" hidden="1"/>
    <cellStyle name="Followed Hyperlink" xfId="702" builtinId="9" hidden="1"/>
    <cellStyle name="Followed Hyperlink" xfId="703" builtinId="9" hidden="1"/>
    <cellStyle name="Followed Hyperlink" xfId="704" builtinId="9" hidden="1"/>
    <cellStyle name="Followed Hyperlink" xfId="705" builtinId="9" hidden="1"/>
    <cellStyle name="Followed Hyperlink" xfId="706" builtinId="9" hidden="1"/>
    <cellStyle name="Followed Hyperlink" xfId="707" builtinId="9" hidden="1"/>
    <cellStyle name="Followed Hyperlink" xfId="708" builtinId="9" hidden="1"/>
    <cellStyle name="Followed Hyperlink" xfId="709" builtinId="9" hidden="1"/>
    <cellStyle name="Followed Hyperlink" xfId="710" builtinId="9" hidden="1"/>
    <cellStyle name="Followed Hyperlink" xfId="711" builtinId="9" hidden="1"/>
    <cellStyle name="Followed Hyperlink" xfId="712" builtinId="9" hidden="1"/>
    <cellStyle name="Followed Hyperlink" xfId="713" builtinId="9" hidden="1"/>
    <cellStyle name="Followed Hyperlink" xfId="714" builtinId="9" hidden="1"/>
    <cellStyle name="Followed Hyperlink" xfId="715" builtinId="9" hidden="1"/>
    <cellStyle name="Followed Hyperlink" xfId="716" builtinId="9" hidden="1"/>
    <cellStyle name="Followed Hyperlink" xfId="717" builtinId="9" hidden="1"/>
    <cellStyle name="Followed Hyperlink" xfId="718" builtinId="9" hidden="1"/>
    <cellStyle name="Followed Hyperlink" xfId="719" builtinId="9" hidden="1"/>
    <cellStyle name="Followed Hyperlink" xfId="720" builtinId="9" hidden="1"/>
    <cellStyle name="Followed Hyperlink" xfId="721" builtinId="9" hidden="1"/>
    <cellStyle name="Followed Hyperlink" xfId="722" builtinId="9" hidden="1"/>
    <cellStyle name="Followed Hyperlink" xfId="723" builtinId="9" hidden="1"/>
    <cellStyle name="Followed Hyperlink" xfId="724" builtinId="9" hidden="1"/>
    <cellStyle name="Followed Hyperlink" xfId="725" builtinId="9" hidden="1"/>
    <cellStyle name="Followed Hyperlink" xfId="726" builtinId="9" hidden="1"/>
    <cellStyle name="Followed Hyperlink" xfId="727" builtinId="9" hidden="1"/>
    <cellStyle name="Followed Hyperlink" xfId="728" builtinId="9" hidden="1"/>
    <cellStyle name="Followed Hyperlink" xfId="729" builtinId="9" hidden="1"/>
    <cellStyle name="Followed Hyperlink" xfId="730" builtinId="9" hidden="1"/>
    <cellStyle name="Followed Hyperlink" xfId="731" builtinId="9" hidden="1"/>
    <cellStyle name="Followed Hyperlink" xfId="732" builtinId="9" hidden="1"/>
    <cellStyle name="Followed Hyperlink" xfId="733" builtinId="9" hidden="1"/>
    <cellStyle name="Followed Hyperlink" xfId="734" builtinId="9" hidden="1"/>
    <cellStyle name="Followed Hyperlink" xfId="735" builtinId="9" hidden="1"/>
    <cellStyle name="Followed Hyperlink" xfId="736" builtinId="9" hidden="1"/>
    <cellStyle name="Followed Hyperlink" xfId="737" builtinId="9" hidden="1"/>
    <cellStyle name="Followed Hyperlink" xfId="738" builtinId="9" hidden="1"/>
    <cellStyle name="Followed Hyperlink" xfId="739" builtinId="9" hidden="1"/>
    <cellStyle name="Followed Hyperlink" xfId="740" builtinId="9" hidden="1"/>
    <cellStyle name="Followed Hyperlink" xfId="741" builtinId="9" hidden="1"/>
    <cellStyle name="Followed Hyperlink" xfId="742" builtinId="9" hidden="1"/>
    <cellStyle name="Followed Hyperlink" xfId="743" builtinId="9" hidden="1"/>
    <cellStyle name="Followed Hyperlink" xfId="744" builtinId="9" hidden="1"/>
    <cellStyle name="Followed Hyperlink" xfId="745" builtinId="9" hidden="1"/>
    <cellStyle name="Followed Hyperlink" xfId="746" builtinId="9" hidden="1"/>
    <cellStyle name="Followed Hyperlink" xfId="747" builtinId="9" hidden="1"/>
    <cellStyle name="Followed Hyperlink" xfId="748" builtinId="9" hidden="1"/>
    <cellStyle name="Followed Hyperlink" xfId="749" builtinId="9" hidden="1"/>
    <cellStyle name="Followed Hyperlink" xfId="750" builtinId="9" hidden="1"/>
    <cellStyle name="Followed Hyperlink" xfId="751" builtinId="9" hidden="1"/>
    <cellStyle name="Followed Hyperlink" xfId="752" builtinId="9" hidden="1"/>
    <cellStyle name="Followed Hyperlink" xfId="753" builtinId="9" hidden="1"/>
    <cellStyle name="Followed Hyperlink" xfId="754" builtinId="9" hidden="1"/>
    <cellStyle name="Followed Hyperlink" xfId="755" builtinId="9" hidden="1"/>
    <cellStyle name="Followed Hyperlink" xfId="756" builtinId="9" hidden="1"/>
    <cellStyle name="Followed Hyperlink" xfId="757" builtinId="9" hidden="1"/>
    <cellStyle name="Followed Hyperlink" xfId="758" builtinId="9" hidden="1"/>
    <cellStyle name="Followed Hyperlink" xfId="759" builtinId="9" hidden="1"/>
    <cellStyle name="Followed Hyperlink" xfId="760" builtinId="9" hidden="1"/>
    <cellStyle name="Followed Hyperlink" xfId="761" builtinId="9" hidden="1"/>
    <cellStyle name="Followed Hyperlink" xfId="762" builtinId="9" hidden="1"/>
    <cellStyle name="Followed Hyperlink" xfId="763" builtinId="9" hidden="1"/>
    <cellStyle name="Followed Hyperlink" xfId="764" builtinId="9" hidden="1"/>
    <cellStyle name="Followed Hyperlink" xfId="765" builtinId="9" hidden="1"/>
    <cellStyle name="Followed Hyperlink" xfId="766" builtinId="9" hidden="1"/>
    <cellStyle name="Followed Hyperlink" xfId="767" builtinId="9" hidden="1"/>
    <cellStyle name="Followed Hyperlink" xfId="768" builtinId="9" hidden="1"/>
    <cellStyle name="Followed Hyperlink" xfId="769" builtinId="9" hidden="1"/>
    <cellStyle name="Followed Hyperlink" xfId="770" builtinId="9" hidden="1"/>
    <cellStyle name="Followed Hyperlink" xfId="771" builtinId="9" hidden="1"/>
    <cellStyle name="Followed Hyperlink" xfId="772" builtinId="9" hidden="1"/>
    <cellStyle name="Followed Hyperlink" xfId="773" builtinId="9" hidden="1"/>
    <cellStyle name="Followed Hyperlink" xfId="774" builtinId="9" hidden="1"/>
    <cellStyle name="Followed Hyperlink" xfId="775" builtinId="9" hidden="1"/>
    <cellStyle name="Followed Hyperlink" xfId="776" builtinId="9" hidden="1"/>
    <cellStyle name="Followed Hyperlink" xfId="777" builtinId="9" hidden="1"/>
    <cellStyle name="Followed Hyperlink" xfId="778" builtinId="9" hidden="1"/>
    <cellStyle name="Followed Hyperlink" xfId="779" builtinId="9" hidden="1"/>
    <cellStyle name="Followed Hyperlink" xfId="780" builtinId="9" hidden="1"/>
    <cellStyle name="Followed Hyperlink" xfId="781" builtinId="9" hidden="1"/>
    <cellStyle name="Followed Hyperlink" xfId="782" builtinId="9" hidden="1"/>
    <cellStyle name="Followed Hyperlink" xfId="783" builtinId="9" hidden="1"/>
    <cellStyle name="Followed Hyperlink" xfId="784" builtinId="9" hidden="1"/>
    <cellStyle name="Followed Hyperlink" xfId="785" builtinId="9" hidden="1"/>
    <cellStyle name="Followed Hyperlink" xfId="786" builtinId="9" hidden="1"/>
    <cellStyle name="Followed Hyperlink" xfId="787" builtinId="9" hidden="1"/>
    <cellStyle name="Followed Hyperlink" xfId="788" builtinId="9" hidden="1"/>
    <cellStyle name="Followed Hyperlink" xfId="789" builtinId="9" hidden="1"/>
    <cellStyle name="Followed Hyperlink" xfId="790" builtinId="9" hidden="1"/>
    <cellStyle name="Followed Hyperlink" xfId="791" builtinId="9" hidden="1"/>
    <cellStyle name="Followed Hyperlink" xfId="792" builtinId="9" hidden="1"/>
    <cellStyle name="Followed Hyperlink" xfId="793" builtinId="9" hidden="1"/>
    <cellStyle name="Followed Hyperlink" xfId="794" builtinId="9" hidden="1"/>
    <cellStyle name="Followed Hyperlink" xfId="795" builtinId="9" hidden="1"/>
    <cellStyle name="Followed Hyperlink" xfId="796" builtinId="9" hidden="1"/>
    <cellStyle name="Followed Hyperlink" xfId="797" builtinId="9" hidden="1"/>
    <cellStyle name="Followed Hyperlink" xfId="798" builtinId="9" hidden="1"/>
    <cellStyle name="Followed Hyperlink" xfId="799" builtinId="9" hidden="1"/>
    <cellStyle name="Followed Hyperlink" xfId="800" builtinId="9" hidden="1"/>
    <cellStyle name="Followed Hyperlink" xfId="801" builtinId="9" hidden="1"/>
    <cellStyle name="Followed Hyperlink" xfId="802" builtinId="9" hidden="1"/>
    <cellStyle name="Followed Hyperlink" xfId="803" builtinId="9" hidden="1"/>
    <cellStyle name="Followed Hyperlink" xfId="804" builtinId="9" hidden="1"/>
    <cellStyle name="Followed Hyperlink" xfId="805" builtinId="9" hidden="1"/>
    <cellStyle name="Followed Hyperlink" xfId="806" builtinId="9" hidden="1"/>
    <cellStyle name="Followed Hyperlink" xfId="807" builtinId="9" hidden="1"/>
    <cellStyle name="Followed Hyperlink" xfId="808" builtinId="9" hidden="1"/>
    <cellStyle name="Followed Hyperlink" xfId="809" builtinId="9" hidden="1"/>
    <cellStyle name="Followed Hyperlink" xfId="810" builtinId="9" hidden="1"/>
    <cellStyle name="Followed Hyperlink" xfId="811" builtinId="9" hidden="1"/>
    <cellStyle name="Followed Hyperlink" xfId="812" builtinId="9" hidden="1"/>
    <cellStyle name="Followed Hyperlink" xfId="813" builtinId="9" hidden="1"/>
    <cellStyle name="Followed Hyperlink" xfId="814" builtinId="9" hidden="1"/>
    <cellStyle name="Followed Hyperlink" xfId="815" builtinId="9" hidden="1"/>
    <cellStyle name="Followed Hyperlink" xfId="816" builtinId="9" hidden="1"/>
    <cellStyle name="Followed Hyperlink" xfId="817" builtinId="9" hidden="1"/>
    <cellStyle name="Followed Hyperlink" xfId="818" builtinId="9" hidden="1"/>
    <cellStyle name="Followed Hyperlink" xfId="819" builtinId="9" hidden="1"/>
    <cellStyle name="Followed Hyperlink" xfId="820" builtinId="9" hidden="1"/>
    <cellStyle name="Followed Hyperlink" xfId="821" builtinId="9" hidden="1"/>
    <cellStyle name="Followed Hyperlink" xfId="822" builtinId="9" hidden="1"/>
    <cellStyle name="Followed Hyperlink" xfId="823" builtinId="9" hidden="1"/>
    <cellStyle name="Followed Hyperlink" xfId="824" builtinId="9" hidden="1"/>
    <cellStyle name="Followed Hyperlink" xfId="825" builtinId="9" hidden="1"/>
    <cellStyle name="Followed Hyperlink" xfId="826" builtinId="9" hidden="1"/>
    <cellStyle name="Followed Hyperlink" xfId="827" builtinId="9" hidden="1"/>
    <cellStyle name="Followed Hyperlink" xfId="828" builtinId="9" hidden="1"/>
    <cellStyle name="Followed Hyperlink" xfId="829" builtinId="9" hidden="1"/>
    <cellStyle name="Followed Hyperlink" xfId="830" builtinId="9" hidden="1"/>
    <cellStyle name="Followed Hyperlink" xfId="831" builtinId="9" hidden="1"/>
    <cellStyle name="Followed Hyperlink" xfId="832" builtinId="9" hidden="1"/>
    <cellStyle name="Followed Hyperlink" xfId="833" builtinId="9" hidden="1"/>
    <cellStyle name="Followed Hyperlink" xfId="834" builtinId="9" hidden="1"/>
    <cellStyle name="Followed Hyperlink" xfId="835" builtinId="9" hidden="1"/>
    <cellStyle name="Followed Hyperlink" xfId="836" builtinId="9" hidden="1"/>
    <cellStyle name="Followed Hyperlink" xfId="837" builtinId="9" hidden="1"/>
    <cellStyle name="Followed Hyperlink" xfId="838" builtinId="9" hidden="1"/>
    <cellStyle name="Followed Hyperlink" xfId="839" builtinId="9" hidden="1"/>
    <cellStyle name="Followed Hyperlink" xfId="840" builtinId="9" hidden="1"/>
    <cellStyle name="Followed Hyperlink" xfId="841" builtinId="9" hidden="1"/>
    <cellStyle name="Followed Hyperlink" xfId="842" builtinId="9" hidden="1"/>
    <cellStyle name="Followed Hyperlink" xfId="843" builtinId="9" hidden="1"/>
    <cellStyle name="Followed Hyperlink" xfId="844" builtinId="9" hidden="1"/>
    <cellStyle name="Followed Hyperlink" xfId="845" builtinId="9" hidden="1"/>
    <cellStyle name="Followed Hyperlink" xfId="846" builtinId="9" hidden="1"/>
    <cellStyle name="Followed Hyperlink" xfId="847" builtinId="9" hidden="1"/>
    <cellStyle name="Followed Hyperlink" xfId="848" builtinId="9" hidden="1"/>
    <cellStyle name="Followed Hyperlink" xfId="849" builtinId="9" hidden="1"/>
    <cellStyle name="Followed Hyperlink" xfId="850" builtinId="9" hidden="1"/>
    <cellStyle name="Followed Hyperlink" xfId="851" builtinId="9" hidden="1"/>
    <cellStyle name="Followed Hyperlink" xfId="852" builtinId="9" hidden="1"/>
    <cellStyle name="Followed Hyperlink" xfId="853" builtinId="9" hidden="1"/>
    <cellStyle name="Followed Hyperlink" xfId="854" builtinId="9" hidden="1"/>
    <cellStyle name="Followed Hyperlink" xfId="855" builtinId="9" hidden="1"/>
    <cellStyle name="Followed Hyperlink" xfId="856" builtinId="9" hidden="1"/>
    <cellStyle name="Followed Hyperlink" xfId="857" builtinId="9" hidden="1"/>
    <cellStyle name="Followed Hyperlink" xfId="858" builtinId="9" hidden="1"/>
    <cellStyle name="Followed Hyperlink" xfId="859" builtinId="9" hidden="1"/>
    <cellStyle name="Followed Hyperlink" xfId="860" builtinId="9" hidden="1"/>
    <cellStyle name="Followed Hyperlink" xfId="861" builtinId="9" hidden="1"/>
    <cellStyle name="Followed Hyperlink" xfId="862" builtinId="9" hidden="1"/>
    <cellStyle name="Followed Hyperlink" xfId="863" builtinId="9" hidden="1"/>
    <cellStyle name="Followed Hyperlink" xfId="864" builtinId="9" hidden="1"/>
    <cellStyle name="Followed Hyperlink" xfId="865" builtinId="9" hidden="1"/>
    <cellStyle name="Followed Hyperlink" xfId="866" builtinId="9" hidden="1"/>
    <cellStyle name="Followed Hyperlink" xfId="867" builtinId="9" hidden="1"/>
    <cellStyle name="Followed Hyperlink" xfId="868" builtinId="9" hidden="1"/>
    <cellStyle name="Followed Hyperlink" xfId="869" builtinId="9" hidden="1"/>
    <cellStyle name="Followed Hyperlink" xfId="870" builtinId="9" hidden="1"/>
    <cellStyle name="Followed Hyperlink" xfId="871" builtinId="9" hidden="1"/>
    <cellStyle name="Followed Hyperlink" xfId="872" builtinId="9" hidden="1"/>
    <cellStyle name="Followed Hyperlink" xfId="873" builtinId="9" hidden="1"/>
    <cellStyle name="Followed Hyperlink" xfId="874" builtinId="9" hidden="1"/>
    <cellStyle name="Followed Hyperlink" xfId="875" builtinId="9" hidden="1"/>
    <cellStyle name="Followed Hyperlink" xfId="876" builtinId="9" hidden="1"/>
    <cellStyle name="Followed Hyperlink" xfId="877" builtinId="9" hidden="1"/>
    <cellStyle name="Followed Hyperlink" xfId="878" builtinId="9" hidden="1"/>
    <cellStyle name="Followed Hyperlink" xfId="879" builtinId="9" hidden="1"/>
    <cellStyle name="Followed Hyperlink" xfId="880" builtinId="9" hidden="1"/>
    <cellStyle name="Followed Hyperlink" xfId="881" builtinId="9" hidden="1"/>
    <cellStyle name="Followed Hyperlink" xfId="882" builtinId="9" hidden="1"/>
    <cellStyle name="Followed Hyperlink" xfId="883" builtinId="9" hidden="1"/>
    <cellStyle name="Followed Hyperlink" xfId="884" builtinId="9" hidden="1"/>
    <cellStyle name="Followed Hyperlink" xfId="885" builtinId="9" hidden="1"/>
    <cellStyle name="Followed Hyperlink" xfId="886" builtinId="9" hidden="1"/>
    <cellStyle name="Followed Hyperlink" xfId="887" builtinId="9" hidden="1"/>
    <cellStyle name="Followed Hyperlink" xfId="888" builtinId="9" hidden="1"/>
    <cellStyle name="Followed Hyperlink" xfId="889" builtinId="9" hidden="1"/>
    <cellStyle name="Followed Hyperlink" xfId="890" builtinId="9" hidden="1"/>
    <cellStyle name="Followed Hyperlink" xfId="891" builtinId="9" hidden="1"/>
    <cellStyle name="Followed Hyperlink" xfId="892" builtinId="9" hidden="1"/>
    <cellStyle name="Followed Hyperlink" xfId="893" builtinId="9" hidden="1"/>
    <cellStyle name="Followed Hyperlink" xfId="894" builtinId="9" hidden="1"/>
    <cellStyle name="Followed Hyperlink" xfId="895" builtinId="9" hidden="1"/>
    <cellStyle name="Followed Hyperlink" xfId="896" builtinId="9" hidden="1"/>
    <cellStyle name="Followed Hyperlink" xfId="897" builtinId="9" hidden="1"/>
    <cellStyle name="Followed Hyperlink" xfId="898" builtinId="9" hidden="1"/>
    <cellStyle name="Followed Hyperlink" xfId="899" builtinId="9" hidden="1"/>
    <cellStyle name="Followed Hyperlink" xfId="900" builtinId="9" hidden="1"/>
    <cellStyle name="Followed Hyperlink" xfId="901" builtinId="9" hidden="1"/>
    <cellStyle name="Followed Hyperlink" xfId="902" builtinId="9" hidden="1"/>
    <cellStyle name="Followed Hyperlink" xfId="903" builtinId="9" hidden="1"/>
    <cellStyle name="Followed Hyperlink" xfId="904" builtinId="9" hidden="1"/>
    <cellStyle name="Followed Hyperlink" xfId="905" builtinId="9" hidden="1"/>
    <cellStyle name="Followed Hyperlink" xfId="906" builtinId="9" hidden="1"/>
    <cellStyle name="Followed Hyperlink" xfId="907" builtinId="9" hidden="1"/>
    <cellStyle name="Followed Hyperlink" xfId="908" builtinId="9" hidden="1"/>
    <cellStyle name="Followed Hyperlink" xfId="909" builtinId="9" hidden="1"/>
    <cellStyle name="Followed Hyperlink" xfId="910" builtinId="9" hidden="1"/>
    <cellStyle name="Followed Hyperlink" xfId="911" builtinId="9" hidden="1"/>
    <cellStyle name="Followed Hyperlink" xfId="912" builtinId="9" hidden="1"/>
    <cellStyle name="Followed Hyperlink" xfId="913" builtinId="9" hidden="1"/>
    <cellStyle name="Followed Hyperlink" xfId="914" builtinId="9" hidden="1"/>
    <cellStyle name="Followed Hyperlink" xfId="915" builtinId="9" hidden="1"/>
    <cellStyle name="Followed Hyperlink" xfId="916" builtinId="9" hidden="1"/>
    <cellStyle name="Followed Hyperlink" xfId="917" builtinId="9" hidden="1"/>
    <cellStyle name="Followed Hyperlink" xfId="918" builtinId="9" hidden="1"/>
    <cellStyle name="Followed Hyperlink" xfId="919" builtinId="9" hidden="1"/>
    <cellStyle name="Followed Hyperlink" xfId="920" builtinId="9" hidden="1"/>
    <cellStyle name="Followed Hyperlink" xfId="921" builtinId="9" hidden="1"/>
    <cellStyle name="Followed Hyperlink" xfId="922" builtinId="9" hidden="1"/>
    <cellStyle name="Followed Hyperlink" xfId="923" builtinId="9" hidden="1"/>
    <cellStyle name="Followed Hyperlink" xfId="924" builtinId="9" hidden="1"/>
    <cellStyle name="Followed Hyperlink" xfId="925" builtinId="9" hidden="1"/>
    <cellStyle name="Followed Hyperlink" xfId="926" builtinId="9" hidden="1"/>
    <cellStyle name="Followed Hyperlink" xfId="927" builtinId="9" hidden="1"/>
    <cellStyle name="Followed Hyperlink" xfId="928" builtinId="9" hidden="1"/>
    <cellStyle name="Followed Hyperlink" xfId="929" builtinId="9" hidden="1"/>
    <cellStyle name="Followed Hyperlink" xfId="930" builtinId="9" hidden="1"/>
    <cellStyle name="Followed Hyperlink" xfId="931" builtinId="9" hidden="1"/>
    <cellStyle name="Followed Hyperlink" xfId="932" builtinId="9" hidden="1"/>
    <cellStyle name="Followed Hyperlink" xfId="933" builtinId="9" hidden="1"/>
    <cellStyle name="Followed Hyperlink" xfId="934" builtinId="9" hidden="1"/>
    <cellStyle name="Followed Hyperlink" xfId="935" builtinId="9" hidden="1"/>
    <cellStyle name="Followed Hyperlink" xfId="936" builtinId="9" hidden="1"/>
    <cellStyle name="Followed Hyperlink" xfId="937" builtinId="9" hidden="1"/>
    <cellStyle name="Followed Hyperlink" xfId="938" builtinId="9" hidden="1"/>
    <cellStyle name="Followed Hyperlink" xfId="939" builtinId="9" hidden="1"/>
    <cellStyle name="Followed Hyperlink" xfId="940" builtinId="9" hidden="1"/>
    <cellStyle name="Followed Hyperlink" xfId="941" builtinId="9" hidden="1"/>
    <cellStyle name="Followed Hyperlink" xfId="942" builtinId="9" hidden="1"/>
    <cellStyle name="Followed Hyperlink" xfId="943" builtinId="9" hidden="1"/>
    <cellStyle name="Followed Hyperlink" xfId="944" builtinId="9" hidden="1"/>
    <cellStyle name="Followed Hyperlink" xfId="945" builtinId="9" hidden="1"/>
    <cellStyle name="Followed Hyperlink" xfId="946" builtinId="9" hidden="1"/>
    <cellStyle name="Followed Hyperlink" xfId="947" builtinId="9" hidden="1"/>
    <cellStyle name="Followed Hyperlink" xfId="948" builtinId="9" hidden="1"/>
    <cellStyle name="Followed Hyperlink" xfId="949" builtinId="9" hidden="1"/>
    <cellStyle name="Followed Hyperlink" xfId="950" builtinId="9" hidden="1"/>
    <cellStyle name="Followed Hyperlink" xfId="951" builtinId="9" hidden="1"/>
    <cellStyle name="Followed Hyperlink" xfId="952" builtinId="9" hidden="1"/>
    <cellStyle name="Followed Hyperlink" xfId="953" builtinId="9" hidden="1"/>
    <cellStyle name="Followed Hyperlink" xfId="954" builtinId="9" hidden="1"/>
    <cellStyle name="Followed Hyperlink" xfId="955" builtinId="9" hidden="1"/>
    <cellStyle name="Followed Hyperlink" xfId="956" builtinId="9" hidden="1"/>
    <cellStyle name="Followed Hyperlink" xfId="957" builtinId="9" hidden="1"/>
    <cellStyle name="Followed Hyperlink" xfId="958" builtinId="9" hidden="1"/>
    <cellStyle name="Followed Hyperlink" xfId="959" builtinId="9" hidden="1"/>
    <cellStyle name="Followed Hyperlink" xfId="960" builtinId="9" hidden="1"/>
    <cellStyle name="Followed Hyperlink" xfId="961" builtinId="9" hidden="1"/>
    <cellStyle name="Followed Hyperlink" xfId="962" builtinId="9" hidden="1"/>
    <cellStyle name="Followed Hyperlink" xfId="963" builtinId="9" hidden="1"/>
    <cellStyle name="Followed Hyperlink" xfId="964" builtinId="9" hidden="1"/>
    <cellStyle name="Followed Hyperlink" xfId="965" builtinId="9" hidden="1"/>
    <cellStyle name="Followed Hyperlink" xfId="966" builtinId="9" hidden="1"/>
    <cellStyle name="Followed Hyperlink" xfId="967" builtinId="9" hidden="1"/>
    <cellStyle name="Followed Hyperlink" xfId="968" builtinId="9" hidden="1"/>
    <cellStyle name="Followed Hyperlink" xfId="969" builtinId="9" hidden="1"/>
    <cellStyle name="Followed Hyperlink" xfId="970" builtinId="9" hidden="1"/>
    <cellStyle name="Followed Hyperlink" xfId="971" builtinId="9" hidden="1"/>
    <cellStyle name="Followed Hyperlink" xfId="972" builtinId="9" hidden="1"/>
    <cellStyle name="Followed Hyperlink" xfId="973" builtinId="9" hidden="1"/>
    <cellStyle name="Followed Hyperlink" xfId="974" builtinId="9" hidden="1"/>
    <cellStyle name="Followed Hyperlink" xfId="975" builtinId="9" hidden="1"/>
    <cellStyle name="Followed Hyperlink" xfId="976" builtinId="9" hidden="1"/>
    <cellStyle name="Followed Hyperlink" xfId="977" builtinId="9" hidden="1"/>
    <cellStyle name="Followed Hyperlink" xfId="978" builtinId="9" hidden="1"/>
    <cellStyle name="Followed Hyperlink" xfId="979" builtinId="9" hidden="1"/>
    <cellStyle name="Followed Hyperlink" xfId="980" builtinId="9" hidden="1"/>
    <cellStyle name="Followed Hyperlink" xfId="981" builtinId="9" hidden="1"/>
    <cellStyle name="Followed Hyperlink" xfId="982" builtinId="9" hidden="1"/>
    <cellStyle name="Followed Hyperlink" xfId="983" builtinId="9" hidden="1"/>
    <cellStyle name="Followed Hyperlink" xfId="984" builtinId="9" hidden="1"/>
    <cellStyle name="Followed Hyperlink" xfId="985" builtinId="9" hidden="1"/>
    <cellStyle name="Followed Hyperlink" xfId="986" builtinId="9" hidden="1"/>
    <cellStyle name="Followed Hyperlink" xfId="987" builtinId="9" hidden="1"/>
    <cellStyle name="Followed Hyperlink" xfId="988" builtinId="9" hidden="1"/>
    <cellStyle name="Followed Hyperlink" xfId="989" builtinId="9" hidden="1"/>
    <cellStyle name="Followed Hyperlink" xfId="990" builtinId="9" hidden="1"/>
    <cellStyle name="Followed Hyperlink" xfId="991" builtinId="9" hidden="1"/>
    <cellStyle name="Followed Hyperlink" xfId="992" builtinId="9" hidden="1"/>
    <cellStyle name="Followed Hyperlink" xfId="993" builtinId="9" hidden="1"/>
    <cellStyle name="Followed Hyperlink" xfId="994" builtinId="9" hidden="1"/>
    <cellStyle name="Followed Hyperlink" xfId="995" builtinId="9" hidden="1"/>
    <cellStyle name="Followed Hyperlink" xfId="996" builtinId="9" hidden="1"/>
    <cellStyle name="Followed Hyperlink" xfId="997" builtinId="9" hidden="1"/>
    <cellStyle name="Followed Hyperlink" xfId="998" builtinId="9" hidden="1"/>
    <cellStyle name="Followed Hyperlink" xfId="999" builtinId="9" hidden="1"/>
    <cellStyle name="Followed Hyperlink" xfId="1000" builtinId="9" hidden="1"/>
    <cellStyle name="Followed Hyperlink" xfId="1001" builtinId="9" hidden="1"/>
    <cellStyle name="Followed Hyperlink" xfId="1002" builtinId="9" hidden="1"/>
    <cellStyle name="Followed Hyperlink" xfId="1003" builtinId="9" hidden="1"/>
    <cellStyle name="Followed Hyperlink" xfId="1004" builtinId="9" hidden="1"/>
    <cellStyle name="Followed Hyperlink" xfId="1005" builtinId="9" hidden="1"/>
    <cellStyle name="Followed Hyperlink" xfId="1006" builtinId="9" hidden="1"/>
    <cellStyle name="Followed Hyperlink" xfId="1007" builtinId="9" hidden="1"/>
    <cellStyle name="Followed Hyperlink" xfId="1008" builtinId="9" hidden="1"/>
    <cellStyle name="Followed Hyperlink" xfId="1009" builtinId="9" hidden="1"/>
    <cellStyle name="Followed Hyperlink" xfId="1011" builtinId="9" hidden="1"/>
    <cellStyle name="Followed Hyperlink" xfId="1012" builtinId="9" hidden="1"/>
    <cellStyle name="Followed Hyperlink" xfId="1013" builtinId="9" hidden="1"/>
    <cellStyle name="Followed Hyperlink" xfId="1014" builtinId="9" hidden="1"/>
    <cellStyle name="Followed Hyperlink" xfId="1015" builtinId="9" hidden="1"/>
    <cellStyle name="Followed Hyperlink" xfId="1016" builtinId="9" hidden="1"/>
    <cellStyle name="Followed Hyperlink" xfId="1017" builtinId="9" hidden="1"/>
    <cellStyle name="Followed Hyperlink" xfId="1018" builtinId="9" hidden="1"/>
    <cellStyle name="Hyperlink" xfId="2" builtinId="8"/>
    <cellStyle name="Normal" xfId="0" builtinId="0"/>
    <cellStyle name="Normal 2" xfId="1" xr:uid="{00000000-0005-0000-0000-0000FB030000}"/>
    <cellStyle name="Per cent" xfId="3" builtinId="5"/>
  </cellStyles>
  <dxfs count="1">
    <dxf>
      <font>
        <color rgb="FFFF0000"/>
      </font>
    </dxf>
  </dxfs>
  <tableStyles count="0" defaultTableStyle="TableStyleMedium2" defaultPivotStyle="PivotStyleLight16"/>
  <colors>
    <mruColors>
      <color rgb="FFFFB715"/>
      <color rgb="FFFFB68D"/>
      <color rgb="FFFF5A29"/>
      <color rgb="FFFFA7C2"/>
      <color rgb="FFF6FFCB"/>
      <color rgb="FFF6FFB6"/>
      <color rgb="FFFFBAC6"/>
      <color rgb="FFFFDE9D"/>
      <color rgb="FFFFDA48"/>
      <color rgb="FFFC38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137</xdr:row>
      <xdr:rowOff>0</xdr:rowOff>
    </xdr:from>
    <xdr:to>
      <xdr:col>5</xdr:col>
      <xdr:colOff>292100</xdr:colOff>
      <xdr:row>138</xdr:row>
      <xdr:rowOff>12700</xdr:rowOff>
    </xdr:to>
    <xdr:sp macro="" textlink="">
      <xdr:nvSpPr>
        <xdr:cNvPr id="2" name="AutoShape 33">
          <a:extLst>
            <a:ext uri="{FF2B5EF4-FFF2-40B4-BE49-F238E27FC236}">
              <a16:creationId xmlns:a16="http://schemas.microsoft.com/office/drawing/2014/main" id="{FD88F7C7-FE3C-9E4B-BCF4-46BF43988358}"/>
            </a:ext>
          </a:extLst>
        </xdr:cNvPr>
        <xdr:cNvSpPr>
          <a:spLocks noChangeAspect="1" noChangeArrowheads="1"/>
        </xdr:cNvSpPr>
      </xdr:nvSpPr>
      <xdr:spPr bwMode="auto">
        <a:xfrm>
          <a:off x="5448300" y="27635200"/>
          <a:ext cx="292100" cy="20320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4</xdr:col>
      <xdr:colOff>0</xdr:colOff>
      <xdr:row>136</xdr:row>
      <xdr:rowOff>38100</xdr:rowOff>
    </xdr:from>
    <xdr:to>
      <xdr:col>4</xdr:col>
      <xdr:colOff>292100</xdr:colOff>
      <xdr:row>137</xdr:row>
      <xdr:rowOff>50800</xdr:rowOff>
    </xdr:to>
    <xdr:sp macro="" textlink="">
      <xdr:nvSpPr>
        <xdr:cNvPr id="3" name="AutoShape 33">
          <a:extLst>
            <a:ext uri="{FF2B5EF4-FFF2-40B4-BE49-F238E27FC236}">
              <a16:creationId xmlns:a16="http://schemas.microsoft.com/office/drawing/2014/main" id="{CBA792AC-57BA-8341-A7FE-9FB861E2A629}"/>
            </a:ext>
          </a:extLst>
        </xdr:cNvPr>
        <xdr:cNvSpPr>
          <a:spLocks noChangeAspect="1" noChangeArrowheads="1"/>
        </xdr:cNvSpPr>
      </xdr:nvSpPr>
      <xdr:spPr bwMode="auto">
        <a:xfrm>
          <a:off x="2540000" y="27470100"/>
          <a:ext cx="292100" cy="20320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6</xdr:col>
      <xdr:colOff>177800</xdr:colOff>
      <xdr:row>137</xdr:row>
      <xdr:rowOff>38100</xdr:rowOff>
    </xdr:from>
    <xdr:to>
      <xdr:col>6</xdr:col>
      <xdr:colOff>469900</xdr:colOff>
      <xdr:row>138</xdr:row>
      <xdr:rowOff>38100</xdr:rowOff>
    </xdr:to>
    <xdr:sp macro="" textlink="">
      <xdr:nvSpPr>
        <xdr:cNvPr id="4" name="AutoShape 34">
          <a:extLst>
            <a:ext uri="{FF2B5EF4-FFF2-40B4-BE49-F238E27FC236}">
              <a16:creationId xmlns:a16="http://schemas.microsoft.com/office/drawing/2014/main" id="{5DA02C93-1032-0C46-B922-BB842F63CAE4}"/>
            </a:ext>
          </a:extLst>
        </xdr:cNvPr>
        <xdr:cNvSpPr>
          <a:spLocks noChangeAspect="1" noChangeArrowheads="1"/>
        </xdr:cNvSpPr>
      </xdr:nvSpPr>
      <xdr:spPr bwMode="auto">
        <a:xfrm>
          <a:off x="6464300" y="27673300"/>
          <a:ext cx="292100" cy="19050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oneCellAnchor>
    <xdr:from>
      <xdr:col>4</xdr:col>
      <xdr:colOff>0</xdr:colOff>
      <xdr:row>137</xdr:row>
      <xdr:rowOff>25400</xdr:rowOff>
    </xdr:from>
    <xdr:ext cx="292100" cy="165100"/>
    <xdr:sp macro="" textlink="">
      <xdr:nvSpPr>
        <xdr:cNvPr id="5" name="AutoShape 136">
          <a:extLst>
            <a:ext uri="{FF2B5EF4-FFF2-40B4-BE49-F238E27FC236}">
              <a16:creationId xmlns:a16="http://schemas.microsoft.com/office/drawing/2014/main" id="{7146BD16-56EB-EF49-8F1B-38BF6E16906E}"/>
            </a:ext>
          </a:extLst>
        </xdr:cNvPr>
        <xdr:cNvSpPr>
          <a:spLocks noChangeAspect="1" noChangeArrowheads="1"/>
        </xdr:cNvSpPr>
      </xdr:nvSpPr>
      <xdr:spPr bwMode="auto">
        <a:xfrm>
          <a:off x="2540000" y="27660600"/>
          <a:ext cx="292100" cy="16510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oneCellAnchor>
  <xdr:oneCellAnchor>
    <xdr:from>
      <xdr:col>4</xdr:col>
      <xdr:colOff>0</xdr:colOff>
      <xdr:row>178</xdr:row>
      <xdr:rowOff>25400</xdr:rowOff>
    </xdr:from>
    <xdr:ext cx="292100" cy="203200"/>
    <xdr:sp macro="" textlink="">
      <xdr:nvSpPr>
        <xdr:cNvPr id="6" name="AutoShape 178">
          <a:extLst>
            <a:ext uri="{FF2B5EF4-FFF2-40B4-BE49-F238E27FC236}">
              <a16:creationId xmlns:a16="http://schemas.microsoft.com/office/drawing/2014/main" id="{6C070689-ED40-5B45-8605-E89D3C24F76F}"/>
            </a:ext>
          </a:extLst>
        </xdr:cNvPr>
        <xdr:cNvSpPr>
          <a:spLocks noChangeAspect="1" noChangeArrowheads="1"/>
        </xdr:cNvSpPr>
      </xdr:nvSpPr>
      <xdr:spPr bwMode="auto">
        <a:xfrm>
          <a:off x="2540000" y="35991800"/>
          <a:ext cx="292100" cy="20320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oneCellAnchor>
  <xdr:oneCellAnchor>
    <xdr:from>
      <xdr:col>4</xdr:col>
      <xdr:colOff>0</xdr:colOff>
      <xdr:row>179</xdr:row>
      <xdr:rowOff>50800</xdr:rowOff>
    </xdr:from>
    <xdr:ext cx="292100" cy="203200"/>
    <xdr:sp macro="" textlink="">
      <xdr:nvSpPr>
        <xdr:cNvPr id="7" name="AutoShape 179">
          <a:extLst>
            <a:ext uri="{FF2B5EF4-FFF2-40B4-BE49-F238E27FC236}">
              <a16:creationId xmlns:a16="http://schemas.microsoft.com/office/drawing/2014/main" id="{DC7260F5-D3AD-D24B-8BFF-E149A25B9229}"/>
            </a:ext>
          </a:extLst>
        </xdr:cNvPr>
        <xdr:cNvSpPr>
          <a:spLocks noChangeAspect="1" noChangeArrowheads="1"/>
        </xdr:cNvSpPr>
      </xdr:nvSpPr>
      <xdr:spPr bwMode="auto">
        <a:xfrm>
          <a:off x="2540000" y="36220400"/>
          <a:ext cx="292100" cy="20320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oneCellAnchor>
  <xdr:twoCellAnchor editAs="oneCell">
    <xdr:from>
      <xdr:col>4</xdr:col>
      <xdr:colOff>0</xdr:colOff>
      <xdr:row>181</xdr:row>
      <xdr:rowOff>76200</xdr:rowOff>
    </xdr:from>
    <xdr:to>
      <xdr:col>4</xdr:col>
      <xdr:colOff>292100</xdr:colOff>
      <xdr:row>182</xdr:row>
      <xdr:rowOff>88900</xdr:rowOff>
    </xdr:to>
    <xdr:sp macro="" textlink="">
      <xdr:nvSpPr>
        <xdr:cNvPr id="8" name="AutoShape 169">
          <a:extLst>
            <a:ext uri="{FF2B5EF4-FFF2-40B4-BE49-F238E27FC236}">
              <a16:creationId xmlns:a16="http://schemas.microsoft.com/office/drawing/2014/main" id="{6926E9C9-BF7A-8443-BAD9-8F3DE6C3BE74}"/>
            </a:ext>
          </a:extLst>
        </xdr:cNvPr>
        <xdr:cNvSpPr>
          <a:spLocks noChangeAspect="1" noChangeArrowheads="1"/>
        </xdr:cNvSpPr>
      </xdr:nvSpPr>
      <xdr:spPr bwMode="auto">
        <a:xfrm>
          <a:off x="2540000" y="36652200"/>
          <a:ext cx="292100" cy="20320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4</xdr:col>
      <xdr:colOff>0</xdr:colOff>
      <xdr:row>182</xdr:row>
      <xdr:rowOff>101600</xdr:rowOff>
    </xdr:from>
    <xdr:to>
      <xdr:col>4</xdr:col>
      <xdr:colOff>292100</xdr:colOff>
      <xdr:row>183</xdr:row>
      <xdr:rowOff>76200</xdr:rowOff>
    </xdr:to>
    <xdr:sp macro="" textlink="">
      <xdr:nvSpPr>
        <xdr:cNvPr id="9" name="AutoShape 170">
          <a:extLst>
            <a:ext uri="{FF2B5EF4-FFF2-40B4-BE49-F238E27FC236}">
              <a16:creationId xmlns:a16="http://schemas.microsoft.com/office/drawing/2014/main" id="{5A2ED803-CA9F-0C40-BEE7-0D8D03DF1F95}"/>
            </a:ext>
          </a:extLst>
        </xdr:cNvPr>
        <xdr:cNvSpPr>
          <a:spLocks noChangeAspect="1" noChangeArrowheads="1"/>
        </xdr:cNvSpPr>
      </xdr:nvSpPr>
      <xdr:spPr bwMode="auto">
        <a:xfrm>
          <a:off x="2540000" y="36880800"/>
          <a:ext cx="292100" cy="16510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4</xdr:col>
      <xdr:colOff>0</xdr:colOff>
      <xdr:row>183</xdr:row>
      <xdr:rowOff>0</xdr:rowOff>
    </xdr:from>
    <xdr:to>
      <xdr:col>4</xdr:col>
      <xdr:colOff>292100</xdr:colOff>
      <xdr:row>184</xdr:row>
      <xdr:rowOff>12700</xdr:rowOff>
    </xdr:to>
    <xdr:sp macro="" textlink="">
      <xdr:nvSpPr>
        <xdr:cNvPr id="10" name="AutoShape 171">
          <a:extLst>
            <a:ext uri="{FF2B5EF4-FFF2-40B4-BE49-F238E27FC236}">
              <a16:creationId xmlns:a16="http://schemas.microsoft.com/office/drawing/2014/main" id="{5746CC41-04C3-AB41-B4AD-8C0C48CD9100}"/>
            </a:ext>
          </a:extLst>
        </xdr:cNvPr>
        <xdr:cNvSpPr>
          <a:spLocks noChangeAspect="1" noChangeArrowheads="1"/>
        </xdr:cNvSpPr>
      </xdr:nvSpPr>
      <xdr:spPr bwMode="auto">
        <a:xfrm>
          <a:off x="2540000" y="36982400"/>
          <a:ext cx="292100" cy="20320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4</xdr:col>
      <xdr:colOff>0</xdr:colOff>
      <xdr:row>184</xdr:row>
      <xdr:rowOff>25400</xdr:rowOff>
    </xdr:from>
    <xdr:to>
      <xdr:col>4</xdr:col>
      <xdr:colOff>292100</xdr:colOff>
      <xdr:row>185</xdr:row>
      <xdr:rowOff>38100</xdr:rowOff>
    </xdr:to>
    <xdr:sp macro="" textlink="">
      <xdr:nvSpPr>
        <xdr:cNvPr id="11" name="AutoShape 172">
          <a:extLst>
            <a:ext uri="{FF2B5EF4-FFF2-40B4-BE49-F238E27FC236}">
              <a16:creationId xmlns:a16="http://schemas.microsoft.com/office/drawing/2014/main" id="{C9806199-E933-8746-9F5D-4FC7279ACBEA}"/>
            </a:ext>
          </a:extLst>
        </xdr:cNvPr>
        <xdr:cNvSpPr>
          <a:spLocks noChangeAspect="1" noChangeArrowheads="1"/>
        </xdr:cNvSpPr>
      </xdr:nvSpPr>
      <xdr:spPr bwMode="auto">
        <a:xfrm>
          <a:off x="2540000" y="37211000"/>
          <a:ext cx="292100" cy="20320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4</xdr:col>
      <xdr:colOff>0</xdr:colOff>
      <xdr:row>184</xdr:row>
      <xdr:rowOff>50800</xdr:rowOff>
    </xdr:from>
    <xdr:to>
      <xdr:col>4</xdr:col>
      <xdr:colOff>292100</xdr:colOff>
      <xdr:row>185</xdr:row>
      <xdr:rowOff>63500</xdr:rowOff>
    </xdr:to>
    <xdr:sp macro="" textlink="">
      <xdr:nvSpPr>
        <xdr:cNvPr id="12" name="AutoShape 173">
          <a:extLst>
            <a:ext uri="{FF2B5EF4-FFF2-40B4-BE49-F238E27FC236}">
              <a16:creationId xmlns:a16="http://schemas.microsoft.com/office/drawing/2014/main" id="{36664D82-E798-4E4A-B7A5-DD46BC735E81}"/>
            </a:ext>
          </a:extLst>
        </xdr:cNvPr>
        <xdr:cNvSpPr>
          <a:spLocks noChangeAspect="1" noChangeArrowheads="1"/>
        </xdr:cNvSpPr>
      </xdr:nvSpPr>
      <xdr:spPr bwMode="auto">
        <a:xfrm>
          <a:off x="2540000" y="37236400"/>
          <a:ext cx="292100" cy="20320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4</xdr:col>
      <xdr:colOff>0</xdr:colOff>
      <xdr:row>185</xdr:row>
      <xdr:rowOff>76200</xdr:rowOff>
    </xdr:from>
    <xdr:to>
      <xdr:col>4</xdr:col>
      <xdr:colOff>292100</xdr:colOff>
      <xdr:row>186</xdr:row>
      <xdr:rowOff>50800</xdr:rowOff>
    </xdr:to>
    <xdr:sp macro="" textlink="">
      <xdr:nvSpPr>
        <xdr:cNvPr id="13" name="AutoShape 174">
          <a:extLst>
            <a:ext uri="{FF2B5EF4-FFF2-40B4-BE49-F238E27FC236}">
              <a16:creationId xmlns:a16="http://schemas.microsoft.com/office/drawing/2014/main" id="{BFB6AEA2-301B-0E44-9F2B-939075213D67}"/>
            </a:ext>
          </a:extLst>
        </xdr:cNvPr>
        <xdr:cNvSpPr>
          <a:spLocks noChangeAspect="1" noChangeArrowheads="1"/>
        </xdr:cNvSpPr>
      </xdr:nvSpPr>
      <xdr:spPr bwMode="auto">
        <a:xfrm>
          <a:off x="2540000" y="37465000"/>
          <a:ext cx="292100" cy="16510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wsDr>
</file>

<file path=xl/persons/person.xml><?xml version="1.0" encoding="utf-8"?>
<personList xmlns="http://schemas.microsoft.com/office/spreadsheetml/2018/threadedcomments" xmlns:x="http://schemas.openxmlformats.org/spreadsheetml/2006/main">
  <person displayName="Oliver Carpenter" id="{0BBE2457-246B-4535-9208-980EDABA6BDD}" userId="S::o.carpenter@cantabrisk.onmicrosoft.com::60241519-c212-4e45-b5d9-0a74021bf712"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I11" dT="2020-05-03T19:52:00.94" personId="{0BBE2457-246B-4535-9208-980EDABA6BDD}" id="{B0D07FC4-B1FD-784A-BBBF-8244C4CC1C12}">
    <text>https://www.artemis.bm/news/38bn-china-flood-impact-just-596m-or-1-5-insured-aon-benfield/</text>
  </threadedComment>
  <threadedComment ref="AI12" dT="2020-05-03T19:39:03.82" personId="{0BBE2457-246B-4535-9208-980EDABA6BDD}" id="{DF7E8F36-3FEE-BB45-8920-F975DF2E1EE0}">
    <text>https://reliefweb.int/report/honduras/debt-disaster-what-happened-honduras-after-hurricane-mitch</text>
  </threadedComment>
  <threadedComment ref="AI25" dT="2020-05-03T19:29:22.87" personId="{0BBE2457-246B-4535-9208-980EDABA6BDD}" id="{2285B3C0-C80F-3241-ACEE-EB9D463D8F3C}">
    <text>http://thoughtleadership.aonbenfield.com/documents/201509-nepal-earthquake.pdf</text>
  </threadedComment>
  <threadedComment ref="AI25" dT="2020-05-03T19:29:55.69" personId="{0BBE2457-246B-4535-9208-980EDABA6BDD}" id="{300D95A4-09C2-9B4A-BB37-5423AA7B7200}" parentId="{2285B3C0-C80F-3241-ACEE-EB9D463D8F3C}">
    <text>100M in Nepal India and Bangladesh - assumed 50%</text>
  </threadedComment>
  <threadedComment ref="AI27" dT="2020-05-03T19:24:37.93" personId="{0BBE2457-246B-4535-9208-980EDABA6BDD}" id="{18E96579-F6E0-C141-80B9-340E0B95B695}">
    <text>http://documents.worldbank.org/curated/en/412761468189235456/pdf/98009-WP-Box391499B-PUBLIC-PCG-Country-Note-Haiti-092213.pdf</text>
  </threadedComment>
  <threadedComment ref="AI44" dT="2020-05-03T20:21:36.97" personId="{0BBE2457-246B-4535-9208-980EDABA6BDD}" id="{D647C1B3-9493-9144-A27F-A4B6B3D10F84}">
    <text>https://www.fema.gov/media-library-data/20130726-1515-20490-1306/voices_anthology.pdf</text>
  </threadedComment>
  <threadedComment ref="AI47" dT="2020-05-03T20:24:26.62" personId="{0BBE2457-246B-4535-9208-980EDABA6BDD}" id="{09B77B60-FE26-A740-A016-4D0363D57D58}">
    <text>https://www.smh.com.au/business/queensland-flood-claims-reach-1-5b-20110131-1abag.html</text>
  </threadedComment>
  <threadedComment ref="AI49" dT="2020-05-03T20:08:22.97" personId="{0BBE2457-246B-4535-9208-980EDABA6BDD}" id="{D4A57736-8DE4-3747-9375-A70B457E9F17}">
    <text>https://www.gfdrr.org/sites/default/files/publication/Options-for-Disaster-Risk-Financing-in-Brazil-English.pdf</text>
  </threadedComment>
  <threadedComment ref="AI58" dT="2020-05-03T20:25:36.86" personId="{0BBE2457-246B-4535-9208-980EDABA6BDD}" id="{D183F1C5-BE41-AF49-A191-7107D81028FE}">
    <text>https://www.insurancejournal.com/news/southeast/2009/09/22/103951.htm</text>
  </threadedComment>
  <threadedComment ref="AI62" dT="2020-05-03T20:13:59.09" personId="{0BBE2457-246B-4535-9208-980EDABA6BDD}" id="{B102EE3F-FD45-D040-906F-E63B34599F09}">
    <text>https://www.iii.org/article/hurricane-andrew-fact-sheet</text>
  </threadedComment>
  <threadedComment ref="AI65" dT="2020-05-03T20:28:30.79" personId="{0BBE2457-246B-4535-9208-980EDABA6BDD}" id="{79A01073-773A-7D49-A877-4B5993E294E7}">
    <text>https://www.swissre.com/dam/jcr:6be9b547-5cf9-45be-9677-c6b2ba8d11c3/3fda34004659aeef93e2f3c4784123a1-09%20Dec%201999_Natural%20catastrophes.pdf</text>
  </threadedComment>
  <threadedComment ref="AI67" dT="2020-05-03T20:31:00.49" personId="{0BBE2457-246B-4535-9208-980EDABA6BDD}" id="{9038FB2A-F2B6-8442-9DE4-D7D8847B0695}">
    <text>https://www.air-worldwide.com/publications/air-currents/looking-back-looking-forward-anatol-lothar-and-martin-ten-years-later/</text>
  </threadedComment>
  <threadedComment ref="AI72" dT="2020-05-03T20:30:06.14" personId="{0BBE2457-246B-4535-9208-980EDABA6BDD}" id="{95676B34-D4FA-6648-9AF3-1F8CECF5EF71}">
    <text>https://www.gccapitalideas.com/2019/01/08/taiwan-catastrophe-insurance-and-gap-in-coverage/?utm_source=slipcase&amp;utm_medium=affiliate&amp;utm_campaign=slipcase</text>
  </threadedComment>
  <threadedComment ref="AI85" dT="2020-05-03T20:00:28.59" personId="{0BBE2457-246B-4535-9208-980EDABA6BDD}" id="{A75F63FC-A8F5-604C-95F8-D73EE1E30A2D}">
    <text>file:///C:/Users/OliverCarpenter/Downloads/EarthquakeInsuranceandEarthquakeRiskManagement.pdf
insurance industry not active in this period</text>
  </threadedComment>
  <threadedComment ref="AI90" dT="2020-05-03T20:01:43.29" personId="{0BBE2457-246B-4535-9208-980EDABA6BDD}" id="{62998C9D-8C85-564E-A573-0BF9DB34AB88}">
    <text>https://www.eeri.org/site/images/lfe/pdf/algeria_20030521.pdf
non existent</text>
  </threadedComment>
  <threadedComment ref="AI98" dT="2020-05-03T20:40:59.90" personId="{0BBE2457-246B-4535-9208-980EDABA6BDD}" id="{02D6D3A5-61FD-6B49-8761-513382429B7D}">
    <text>https://www.iii.org/sites/default/files/docs/pdf/Japan-0315112.pdf</text>
  </threadedComment>
  <threadedComment ref="AI102" dT="2020-05-03T19:49:09.44" personId="{0BBE2457-246B-4535-9208-980EDABA6BDD}" id="{05CC024A-84C3-A646-AB1C-A9CFA7323684}">
    <text>http://documents.worldbank.org/curated/en/640541468100735571/pdf/949830WP0P13240Note0Solomon0Islands.pdf</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www.geo.mtu.edu/UPSeis/magnitude.html"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en.wikipedia.org/wiki/Nicaragua" TargetMode="External"/><Relationship Id="rId21" Type="http://schemas.openxmlformats.org/officeDocument/2006/relationships/hyperlink" Target="https://en.wikipedia.org/wiki/Brazil" TargetMode="External"/><Relationship Id="rId42" Type="http://schemas.openxmlformats.org/officeDocument/2006/relationships/hyperlink" Target="https://en.wikipedia.org/wiki/Czech_Republic" TargetMode="External"/><Relationship Id="rId63" Type="http://schemas.openxmlformats.org/officeDocument/2006/relationships/hyperlink" Target="https://en.wikipedia.org/wiki/Guatemala" TargetMode="External"/><Relationship Id="rId84" Type="http://schemas.openxmlformats.org/officeDocument/2006/relationships/hyperlink" Target="https://en.wikipedia.org/wiki/North_Korea" TargetMode="External"/><Relationship Id="rId138" Type="http://schemas.openxmlformats.org/officeDocument/2006/relationships/hyperlink" Target="https://en.wikipedia.org/wiki/Samoa" TargetMode="External"/><Relationship Id="rId159" Type="http://schemas.openxmlformats.org/officeDocument/2006/relationships/hyperlink" Target="https://en.wikipedia.org/wiki/Thailand" TargetMode="External"/><Relationship Id="rId170" Type="http://schemas.openxmlformats.org/officeDocument/2006/relationships/hyperlink" Target="https://en.wikipedia.org/wiki/United_Kingdom" TargetMode="External"/><Relationship Id="rId107" Type="http://schemas.openxmlformats.org/officeDocument/2006/relationships/hyperlink" Target="https://en.wikipedia.org/wiki/Moldova" TargetMode="External"/><Relationship Id="rId11" Type="http://schemas.openxmlformats.org/officeDocument/2006/relationships/hyperlink" Target="https://en.wikipedia.org/wiki/Bangladesh" TargetMode="External"/><Relationship Id="rId32" Type="http://schemas.openxmlformats.org/officeDocument/2006/relationships/hyperlink" Target="https://en.wikipedia.org/wiki/Chile" TargetMode="External"/><Relationship Id="rId53" Type="http://schemas.openxmlformats.org/officeDocument/2006/relationships/hyperlink" Target="https://en.wikipedia.org/wiki/Ethiopia" TargetMode="External"/><Relationship Id="rId74" Type="http://schemas.openxmlformats.org/officeDocument/2006/relationships/hyperlink" Target="https://en.wikipedia.org/wiki/Iran" TargetMode="External"/><Relationship Id="rId128" Type="http://schemas.openxmlformats.org/officeDocument/2006/relationships/hyperlink" Target="https://en.wikipedia.org/wiki/Philippines" TargetMode="External"/><Relationship Id="rId149" Type="http://schemas.openxmlformats.org/officeDocument/2006/relationships/hyperlink" Target="https://en.wikipedia.org/wiki/South_Africa" TargetMode="External"/><Relationship Id="rId5" Type="http://schemas.openxmlformats.org/officeDocument/2006/relationships/hyperlink" Target="https://en.wikipedia.org/wiki/Armenia" TargetMode="External"/><Relationship Id="rId95" Type="http://schemas.openxmlformats.org/officeDocument/2006/relationships/hyperlink" Target="https://en.wikipedia.org/wiki/Luxembourg" TargetMode="External"/><Relationship Id="rId160" Type="http://schemas.openxmlformats.org/officeDocument/2006/relationships/hyperlink" Target="https://en.wikipedia.org/wiki/East_Timor" TargetMode="External"/><Relationship Id="rId22" Type="http://schemas.openxmlformats.org/officeDocument/2006/relationships/hyperlink" Target="https://en.wikipedia.org/wiki/Brunei" TargetMode="External"/><Relationship Id="rId43" Type="http://schemas.openxmlformats.org/officeDocument/2006/relationships/hyperlink" Target="https://en.wikipedia.org/wiki/Denmark" TargetMode="External"/><Relationship Id="rId64" Type="http://schemas.openxmlformats.org/officeDocument/2006/relationships/hyperlink" Target="https://en.wikipedia.org/wiki/Guinea" TargetMode="External"/><Relationship Id="rId118" Type="http://schemas.openxmlformats.org/officeDocument/2006/relationships/hyperlink" Target="https://en.wikipedia.org/wiki/Niger" TargetMode="External"/><Relationship Id="rId139" Type="http://schemas.openxmlformats.org/officeDocument/2006/relationships/hyperlink" Target="https://en.wikipedia.org/wiki/S%C3%A3o_Tom%C3%A9_and_Pr%C3%ADncipe" TargetMode="External"/><Relationship Id="rId85" Type="http://schemas.openxmlformats.org/officeDocument/2006/relationships/hyperlink" Target="https://en.wikipedia.org/wiki/South_Korea" TargetMode="External"/><Relationship Id="rId150" Type="http://schemas.openxmlformats.org/officeDocument/2006/relationships/hyperlink" Target="https://en.wikipedia.org/wiki/Spain" TargetMode="External"/><Relationship Id="rId171" Type="http://schemas.openxmlformats.org/officeDocument/2006/relationships/hyperlink" Target="https://en.wikipedia.org/wiki/United_States" TargetMode="External"/><Relationship Id="rId12" Type="http://schemas.openxmlformats.org/officeDocument/2006/relationships/hyperlink" Target="https://en.wikipedia.org/wiki/Barbados" TargetMode="External"/><Relationship Id="rId33" Type="http://schemas.openxmlformats.org/officeDocument/2006/relationships/hyperlink" Target="https://en.wikipedia.org/wiki/China" TargetMode="External"/><Relationship Id="rId108" Type="http://schemas.openxmlformats.org/officeDocument/2006/relationships/hyperlink" Target="https://en.wikipedia.org/wiki/Mongolia" TargetMode="External"/><Relationship Id="rId129" Type="http://schemas.openxmlformats.org/officeDocument/2006/relationships/hyperlink" Target="https://en.wikipedia.org/wiki/Poland" TargetMode="External"/><Relationship Id="rId54" Type="http://schemas.openxmlformats.org/officeDocument/2006/relationships/hyperlink" Target="https://en.wikipedia.org/wiki/Fiji" TargetMode="External"/><Relationship Id="rId75" Type="http://schemas.openxmlformats.org/officeDocument/2006/relationships/hyperlink" Target="https://en.wikipedia.org/wiki/Republic_of_Ireland" TargetMode="External"/><Relationship Id="rId96" Type="http://schemas.openxmlformats.org/officeDocument/2006/relationships/hyperlink" Target="https://en.wikipedia.org/wiki/Macau" TargetMode="External"/><Relationship Id="rId140" Type="http://schemas.openxmlformats.org/officeDocument/2006/relationships/hyperlink" Target="https://en.wikipedia.org/wiki/Saudi_Arabia" TargetMode="External"/><Relationship Id="rId161" Type="http://schemas.openxmlformats.org/officeDocument/2006/relationships/hyperlink" Target="https://en.wikipedia.org/wiki/Togo" TargetMode="External"/><Relationship Id="rId6" Type="http://schemas.openxmlformats.org/officeDocument/2006/relationships/hyperlink" Target="https://en.wikipedia.org/wiki/Australia" TargetMode="External"/><Relationship Id="rId23" Type="http://schemas.openxmlformats.org/officeDocument/2006/relationships/hyperlink" Target="https://en.wikipedia.org/wiki/Bulgaria" TargetMode="External"/><Relationship Id="rId28" Type="http://schemas.openxmlformats.org/officeDocument/2006/relationships/hyperlink" Target="https://en.wikipedia.org/wiki/Cameroon" TargetMode="External"/><Relationship Id="rId49" Type="http://schemas.openxmlformats.org/officeDocument/2006/relationships/hyperlink" Target="https://en.wikipedia.org/wiki/El_Salvador" TargetMode="External"/><Relationship Id="rId114" Type="http://schemas.openxmlformats.org/officeDocument/2006/relationships/hyperlink" Target="https://en.wikipedia.org/wiki/Nepal" TargetMode="External"/><Relationship Id="rId119" Type="http://schemas.openxmlformats.org/officeDocument/2006/relationships/hyperlink" Target="https://en.wikipedia.org/wiki/Nigeria" TargetMode="External"/><Relationship Id="rId44" Type="http://schemas.openxmlformats.org/officeDocument/2006/relationships/hyperlink" Target="https://en.wikipedia.org/wiki/Djibouti" TargetMode="External"/><Relationship Id="rId60" Type="http://schemas.openxmlformats.org/officeDocument/2006/relationships/hyperlink" Target="https://en.wikipedia.org/wiki/Germany" TargetMode="External"/><Relationship Id="rId65" Type="http://schemas.openxmlformats.org/officeDocument/2006/relationships/hyperlink" Target="https://en.wikipedia.org/wiki/Guinea-Bissau" TargetMode="External"/><Relationship Id="rId81" Type="http://schemas.openxmlformats.org/officeDocument/2006/relationships/hyperlink" Target="https://en.wikipedia.org/wiki/Kazakhstan" TargetMode="External"/><Relationship Id="rId86" Type="http://schemas.openxmlformats.org/officeDocument/2006/relationships/hyperlink" Target="https://en.wikipedia.org/wiki/Kosovo" TargetMode="External"/><Relationship Id="rId130" Type="http://schemas.openxmlformats.org/officeDocument/2006/relationships/hyperlink" Target="https://en.wikipedia.org/wiki/Portugal" TargetMode="External"/><Relationship Id="rId135" Type="http://schemas.openxmlformats.org/officeDocument/2006/relationships/hyperlink" Target="https://en.wikipedia.org/wiki/Rwanda" TargetMode="External"/><Relationship Id="rId151" Type="http://schemas.openxmlformats.org/officeDocument/2006/relationships/hyperlink" Target="https://en.wikipedia.org/wiki/Sri_Lanka" TargetMode="External"/><Relationship Id="rId156" Type="http://schemas.openxmlformats.org/officeDocument/2006/relationships/hyperlink" Target="https://en.wikipedia.org/wiki/Switzerland" TargetMode="External"/><Relationship Id="rId177" Type="http://schemas.openxmlformats.org/officeDocument/2006/relationships/hyperlink" Target="https://en.wikipedia.org/wiki/Zambia" TargetMode="External"/><Relationship Id="rId172" Type="http://schemas.openxmlformats.org/officeDocument/2006/relationships/hyperlink" Target="https://en.wikipedia.org/wiki/Uruguay" TargetMode="External"/><Relationship Id="rId13" Type="http://schemas.openxmlformats.org/officeDocument/2006/relationships/hyperlink" Target="https://en.wikipedia.org/wiki/Belarus" TargetMode="External"/><Relationship Id="rId18" Type="http://schemas.openxmlformats.org/officeDocument/2006/relationships/hyperlink" Target="https://en.wikipedia.org/wiki/Bolivia" TargetMode="External"/><Relationship Id="rId39" Type="http://schemas.openxmlformats.org/officeDocument/2006/relationships/hyperlink" Target="https://en.wikipedia.org/wiki/Croatia" TargetMode="External"/><Relationship Id="rId109" Type="http://schemas.openxmlformats.org/officeDocument/2006/relationships/hyperlink" Target="https://en.wikipedia.org/wiki/Montenegro" TargetMode="External"/><Relationship Id="rId34" Type="http://schemas.openxmlformats.org/officeDocument/2006/relationships/hyperlink" Target="https://en.wikipedia.org/wiki/Colombia" TargetMode="External"/><Relationship Id="rId50" Type="http://schemas.openxmlformats.org/officeDocument/2006/relationships/hyperlink" Target="https://en.wikipedia.org/wiki/Equatorial_Guinea" TargetMode="External"/><Relationship Id="rId55" Type="http://schemas.openxmlformats.org/officeDocument/2006/relationships/hyperlink" Target="https://en.wikipedia.org/wiki/Finland" TargetMode="External"/><Relationship Id="rId76" Type="http://schemas.openxmlformats.org/officeDocument/2006/relationships/hyperlink" Target="https://en.wikipedia.org/wiki/Israel" TargetMode="External"/><Relationship Id="rId97" Type="http://schemas.openxmlformats.org/officeDocument/2006/relationships/hyperlink" Target="https://en.wikipedia.org/wiki/Madagascar" TargetMode="External"/><Relationship Id="rId104" Type="http://schemas.openxmlformats.org/officeDocument/2006/relationships/hyperlink" Target="https://en.wikipedia.org/wiki/Mauritius" TargetMode="External"/><Relationship Id="rId120" Type="http://schemas.openxmlformats.org/officeDocument/2006/relationships/hyperlink" Target="https://en.wikipedia.org/wiki/North_Macedonia" TargetMode="External"/><Relationship Id="rId125" Type="http://schemas.openxmlformats.org/officeDocument/2006/relationships/hyperlink" Target="https://en.wikipedia.org/wiki/Papua_New_Guinea" TargetMode="External"/><Relationship Id="rId141" Type="http://schemas.openxmlformats.org/officeDocument/2006/relationships/hyperlink" Target="https://en.wikipedia.org/wiki/Senegal" TargetMode="External"/><Relationship Id="rId146" Type="http://schemas.openxmlformats.org/officeDocument/2006/relationships/hyperlink" Target="https://en.wikipedia.org/wiki/Slovakia" TargetMode="External"/><Relationship Id="rId167" Type="http://schemas.openxmlformats.org/officeDocument/2006/relationships/hyperlink" Target="https://en.wikipedia.org/wiki/Uganda" TargetMode="External"/><Relationship Id="rId7" Type="http://schemas.openxmlformats.org/officeDocument/2006/relationships/hyperlink" Target="https://en.wikipedia.org/wiki/Austria" TargetMode="External"/><Relationship Id="rId71" Type="http://schemas.openxmlformats.org/officeDocument/2006/relationships/hyperlink" Target="https://en.wikipedia.org/wiki/Iceland" TargetMode="External"/><Relationship Id="rId92" Type="http://schemas.openxmlformats.org/officeDocument/2006/relationships/hyperlink" Target="https://en.wikipedia.org/wiki/Lesotho" TargetMode="External"/><Relationship Id="rId162" Type="http://schemas.openxmlformats.org/officeDocument/2006/relationships/hyperlink" Target="https://en.wikipedia.org/wiki/Tonga" TargetMode="External"/><Relationship Id="rId2" Type="http://schemas.openxmlformats.org/officeDocument/2006/relationships/hyperlink" Target="https://en.wikipedia.org/wiki/Algeria" TargetMode="External"/><Relationship Id="rId29" Type="http://schemas.openxmlformats.org/officeDocument/2006/relationships/hyperlink" Target="https://en.wikipedia.org/wiki/Canada" TargetMode="External"/><Relationship Id="rId24" Type="http://schemas.openxmlformats.org/officeDocument/2006/relationships/hyperlink" Target="https://en.wikipedia.org/wiki/Burkina_Faso" TargetMode="External"/><Relationship Id="rId40" Type="http://schemas.openxmlformats.org/officeDocument/2006/relationships/hyperlink" Target="https://en.wikipedia.org/wiki/Cuba" TargetMode="External"/><Relationship Id="rId45" Type="http://schemas.openxmlformats.org/officeDocument/2006/relationships/hyperlink" Target="https://en.wikipedia.org/wiki/Dominica" TargetMode="External"/><Relationship Id="rId66" Type="http://schemas.openxmlformats.org/officeDocument/2006/relationships/hyperlink" Target="https://en.wikipedia.org/wiki/Guyana" TargetMode="External"/><Relationship Id="rId87" Type="http://schemas.openxmlformats.org/officeDocument/2006/relationships/hyperlink" Target="https://en.wikipedia.org/wiki/Kuwait" TargetMode="External"/><Relationship Id="rId110" Type="http://schemas.openxmlformats.org/officeDocument/2006/relationships/hyperlink" Target="https://en.wikipedia.org/wiki/Morocco" TargetMode="External"/><Relationship Id="rId115" Type="http://schemas.openxmlformats.org/officeDocument/2006/relationships/hyperlink" Target="https://en.wikipedia.org/wiki/Netherlands" TargetMode="External"/><Relationship Id="rId131" Type="http://schemas.openxmlformats.org/officeDocument/2006/relationships/hyperlink" Target="https://en.wikipedia.org/wiki/Qatar" TargetMode="External"/><Relationship Id="rId136" Type="http://schemas.openxmlformats.org/officeDocument/2006/relationships/hyperlink" Target="https://en.wikipedia.org/wiki/Saint_Lucia" TargetMode="External"/><Relationship Id="rId157" Type="http://schemas.openxmlformats.org/officeDocument/2006/relationships/hyperlink" Target="https://en.wikipedia.org/wiki/Taiwan" TargetMode="External"/><Relationship Id="rId178" Type="http://schemas.openxmlformats.org/officeDocument/2006/relationships/hyperlink" Target="https://en.wikipedia.org/wiki/Zimbabwe" TargetMode="External"/><Relationship Id="rId61" Type="http://schemas.openxmlformats.org/officeDocument/2006/relationships/hyperlink" Target="https://en.wikipedia.org/wiki/Ghana" TargetMode="External"/><Relationship Id="rId82" Type="http://schemas.openxmlformats.org/officeDocument/2006/relationships/hyperlink" Target="https://en.wikipedia.org/wiki/Kenya" TargetMode="External"/><Relationship Id="rId152" Type="http://schemas.openxmlformats.org/officeDocument/2006/relationships/hyperlink" Target="https://en.wikipedia.org/wiki/Sudan" TargetMode="External"/><Relationship Id="rId173" Type="http://schemas.openxmlformats.org/officeDocument/2006/relationships/hyperlink" Target="https://en.wikipedia.org/wiki/Uzbekistan" TargetMode="External"/><Relationship Id="rId19" Type="http://schemas.openxmlformats.org/officeDocument/2006/relationships/hyperlink" Target="https://en.wikipedia.org/wiki/Bosnia_and_Herzegovina" TargetMode="External"/><Relationship Id="rId14" Type="http://schemas.openxmlformats.org/officeDocument/2006/relationships/hyperlink" Target="https://en.wikipedia.org/wiki/Belgium" TargetMode="External"/><Relationship Id="rId30" Type="http://schemas.openxmlformats.org/officeDocument/2006/relationships/hyperlink" Target="https://en.wikipedia.org/wiki/Central_African_Republic" TargetMode="External"/><Relationship Id="rId35" Type="http://schemas.openxmlformats.org/officeDocument/2006/relationships/hyperlink" Target="https://en.wikipedia.org/wiki/Comoros" TargetMode="External"/><Relationship Id="rId56" Type="http://schemas.openxmlformats.org/officeDocument/2006/relationships/hyperlink" Target="https://en.wikipedia.org/wiki/France" TargetMode="External"/><Relationship Id="rId77" Type="http://schemas.openxmlformats.org/officeDocument/2006/relationships/hyperlink" Target="https://en.wikipedia.org/wiki/Italy" TargetMode="External"/><Relationship Id="rId100" Type="http://schemas.openxmlformats.org/officeDocument/2006/relationships/hyperlink" Target="https://en.wikipedia.org/wiki/Maldives" TargetMode="External"/><Relationship Id="rId105" Type="http://schemas.openxmlformats.org/officeDocument/2006/relationships/hyperlink" Target="https://en.wikipedia.org/wiki/Mexico" TargetMode="External"/><Relationship Id="rId126" Type="http://schemas.openxmlformats.org/officeDocument/2006/relationships/hyperlink" Target="https://en.wikipedia.org/wiki/Paraguay" TargetMode="External"/><Relationship Id="rId147" Type="http://schemas.openxmlformats.org/officeDocument/2006/relationships/hyperlink" Target="https://en.wikipedia.org/wiki/Slovenia" TargetMode="External"/><Relationship Id="rId168" Type="http://schemas.openxmlformats.org/officeDocument/2006/relationships/hyperlink" Target="https://en.wikipedia.org/wiki/Ukraine" TargetMode="External"/><Relationship Id="rId8" Type="http://schemas.openxmlformats.org/officeDocument/2006/relationships/hyperlink" Target="https://en.wikipedia.org/wiki/Azerbaijan" TargetMode="External"/><Relationship Id="rId51" Type="http://schemas.openxmlformats.org/officeDocument/2006/relationships/hyperlink" Target="https://en.wikipedia.org/wiki/Eritrea" TargetMode="External"/><Relationship Id="rId72" Type="http://schemas.openxmlformats.org/officeDocument/2006/relationships/hyperlink" Target="https://en.wikipedia.org/wiki/India" TargetMode="External"/><Relationship Id="rId93" Type="http://schemas.openxmlformats.org/officeDocument/2006/relationships/hyperlink" Target="https://en.wikipedia.org/wiki/Liberia" TargetMode="External"/><Relationship Id="rId98" Type="http://schemas.openxmlformats.org/officeDocument/2006/relationships/hyperlink" Target="https://en.wikipedia.org/wiki/Malawi" TargetMode="External"/><Relationship Id="rId121" Type="http://schemas.openxmlformats.org/officeDocument/2006/relationships/hyperlink" Target="https://en.wikipedia.org/wiki/Norway" TargetMode="External"/><Relationship Id="rId142" Type="http://schemas.openxmlformats.org/officeDocument/2006/relationships/hyperlink" Target="https://en.wikipedia.org/wiki/Serbia" TargetMode="External"/><Relationship Id="rId163" Type="http://schemas.openxmlformats.org/officeDocument/2006/relationships/hyperlink" Target="https://en.wikipedia.org/wiki/Trinidad_and_Tobago" TargetMode="External"/><Relationship Id="rId3" Type="http://schemas.openxmlformats.org/officeDocument/2006/relationships/hyperlink" Target="https://en.wikipedia.org/wiki/Angola" TargetMode="External"/><Relationship Id="rId25" Type="http://schemas.openxmlformats.org/officeDocument/2006/relationships/hyperlink" Target="https://en.wikipedia.org/wiki/Burundi" TargetMode="External"/><Relationship Id="rId46" Type="http://schemas.openxmlformats.org/officeDocument/2006/relationships/hyperlink" Target="https://en.wikipedia.org/wiki/Dominican_Republic" TargetMode="External"/><Relationship Id="rId67" Type="http://schemas.openxmlformats.org/officeDocument/2006/relationships/hyperlink" Target="https://en.wikipedia.org/wiki/Haiti" TargetMode="External"/><Relationship Id="rId116" Type="http://schemas.openxmlformats.org/officeDocument/2006/relationships/hyperlink" Target="https://en.wikipedia.org/wiki/New_Zealand" TargetMode="External"/><Relationship Id="rId137" Type="http://schemas.openxmlformats.org/officeDocument/2006/relationships/hyperlink" Target="https://en.wikipedia.org/wiki/Saint_Vincent_and_the_Grenadines" TargetMode="External"/><Relationship Id="rId158" Type="http://schemas.openxmlformats.org/officeDocument/2006/relationships/hyperlink" Target="https://en.wikipedia.org/wiki/Tajikistan" TargetMode="External"/><Relationship Id="rId20" Type="http://schemas.openxmlformats.org/officeDocument/2006/relationships/hyperlink" Target="https://en.wikipedia.org/wiki/Botswana" TargetMode="External"/><Relationship Id="rId41" Type="http://schemas.openxmlformats.org/officeDocument/2006/relationships/hyperlink" Target="https://en.wikipedia.org/wiki/Cyprus" TargetMode="External"/><Relationship Id="rId62" Type="http://schemas.openxmlformats.org/officeDocument/2006/relationships/hyperlink" Target="https://en.wikipedia.org/wiki/Greece" TargetMode="External"/><Relationship Id="rId83" Type="http://schemas.openxmlformats.org/officeDocument/2006/relationships/hyperlink" Target="https://en.wikipedia.org/wiki/Kiribati" TargetMode="External"/><Relationship Id="rId88" Type="http://schemas.openxmlformats.org/officeDocument/2006/relationships/hyperlink" Target="https://en.wikipedia.org/wiki/Kyrgyzstan" TargetMode="External"/><Relationship Id="rId111" Type="http://schemas.openxmlformats.org/officeDocument/2006/relationships/hyperlink" Target="https://en.wikipedia.org/wiki/Mozambique" TargetMode="External"/><Relationship Id="rId132" Type="http://schemas.openxmlformats.org/officeDocument/2006/relationships/hyperlink" Target="https://en.wikipedia.org/wiki/Republic_of_the_Congo" TargetMode="External"/><Relationship Id="rId153" Type="http://schemas.openxmlformats.org/officeDocument/2006/relationships/hyperlink" Target="https://en.wikipedia.org/wiki/Suriname" TargetMode="External"/><Relationship Id="rId174" Type="http://schemas.openxmlformats.org/officeDocument/2006/relationships/hyperlink" Target="https://en.wikipedia.org/wiki/Vanuatu" TargetMode="External"/><Relationship Id="rId179" Type="http://schemas.openxmlformats.org/officeDocument/2006/relationships/drawing" Target="../drawings/drawing1.xml"/><Relationship Id="rId15" Type="http://schemas.openxmlformats.org/officeDocument/2006/relationships/hyperlink" Target="https://en.wikipedia.org/wiki/Belize" TargetMode="External"/><Relationship Id="rId36" Type="http://schemas.openxmlformats.org/officeDocument/2006/relationships/hyperlink" Target="https://en.wikipedia.org/wiki/Democratic_Republic_of_the_Congo" TargetMode="External"/><Relationship Id="rId57" Type="http://schemas.openxmlformats.org/officeDocument/2006/relationships/hyperlink" Target="https://en.wikipedia.org/wiki/Gabon" TargetMode="External"/><Relationship Id="rId106" Type="http://schemas.openxmlformats.org/officeDocument/2006/relationships/hyperlink" Target="https://en.wikipedia.org/wiki/Federated_States_of_Micronesia" TargetMode="External"/><Relationship Id="rId127" Type="http://schemas.openxmlformats.org/officeDocument/2006/relationships/hyperlink" Target="https://en.wikipedia.org/wiki/Peru" TargetMode="External"/><Relationship Id="rId10" Type="http://schemas.openxmlformats.org/officeDocument/2006/relationships/hyperlink" Target="https://en.wikipedia.org/wiki/Bahrain" TargetMode="External"/><Relationship Id="rId31" Type="http://schemas.openxmlformats.org/officeDocument/2006/relationships/hyperlink" Target="https://en.wikipedia.org/wiki/Chad" TargetMode="External"/><Relationship Id="rId52" Type="http://schemas.openxmlformats.org/officeDocument/2006/relationships/hyperlink" Target="https://en.wikipedia.org/wiki/Estonia" TargetMode="External"/><Relationship Id="rId73" Type="http://schemas.openxmlformats.org/officeDocument/2006/relationships/hyperlink" Target="https://en.wikipedia.org/wiki/Indonesia" TargetMode="External"/><Relationship Id="rId78" Type="http://schemas.openxmlformats.org/officeDocument/2006/relationships/hyperlink" Target="https://en.wikipedia.org/wiki/Jamaica" TargetMode="External"/><Relationship Id="rId94" Type="http://schemas.openxmlformats.org/officeDocument/2006/relationships/hyperlink" Target="https://en.wikipedia.org/wiki/Lithuania" TargetMode="External"/><Relationship Id="rId99" Type="http://schemas.openxmlformats.org/officeDocument/2006/relationships/hyperlink" Target="https://en.wikipedia.org/wiki/Malaysia" TargetMode="External"/><Relationship Id="rId101" Type="http://schemas.openxmlformats.org/officeDocument/2006/relationships/hyperlink" Target="https://en.wikipedia.org/wiki/Mali" TargetMode="External"/><Relationship Id="rId122" Type="http://schemas.openxmlformats.org/officeDocument/2006/relationships/hyperlink" Target="https://en.wikipedia.org/wiki/Oman" TargetMode="External"/><Relationship Id="rId143" Type="http://schemas.openxmlformats.org/officeDocument/2006/relationships/hyperlink" Target="https://en.wikipedia.org/wiki/Seychelles" TargetMode="External"/><Relationship Id="rId148" Type="http://schemas.openxmlformats.org/officeDocument/2006/relationships/hyperlink" Target="https://en.wikipedia.org/wiki/Solomon_Islands" TargetMode="External"/><Relationship Id="rId164" Type="http://schemas.openxmlformats.org/officeDocument/2006/relationships/hyperlink" Target="https://en.wikipedia.org/wiki/Tunisia" TargetMode="External"/><Relationship Id="rId169" Type="http://schemas.openxmlformats.org/officeDocument/2006/relationships/hyperlink" Target="https://en.wikipedia.org/wiki/United_Arab_Emirates" TargetMode="External"/><Relationship Id="rId4" Type="http://schemas.openxmlformats.org/officeDocument/2006/relationships/hyperlink" Target="https://en.wikipedia.org/wiki/Argentina" TargetMode="External"/><Relationship Id="rId9" Type="http://schemas.openxmlformats.org/officeDocument/2006/relationships/hyperlink" Target="https://en.wikipedia.org/wiki/The_Bahamas" TargetMode="External"/><Relationship Id="rId26" Type="http://schemas.openxmlformats.org/officeDocument/2006/relationships/hyperlink" Target="https://en.wikipedia.org/wiki/Cape_Verde" TargetMode="External"/><Relationship Id="rId47" Type="http://schemas.openxmlformats.org/officeDocument/2006/relationships/hyperlink" Target="https://en.wikipedia.org/wiki/Ecuador" TargetMode="External"/><Relationship Id="rId68" Type="http://schemas.openxmlformats.org/officeDocument/2006/relationships/hyperlink" Target="https://en.wikipedia.org/wiki/Honduras" TargetMode="External"/><Relationship Id="rId89" Type="http://schemas.openxmlformats.org/officeDocument/2006/relationships/hyperlink" Target="https://en.wikipedia.org/wiki/Laos" TargetMode="External"/><Relationship Id="rId112" Type="http://schemas.openxmlformats.org/officeDocument/2006/relationships/hyperlink" Target="https://en.wikipedia.org/wiki/Myanmar" TargetMode="External"/><Relationship Id="rId133" Type="http://schemas.openxmlformats.org/officeDocument/2006/relationships/hyperlink" Target="https://en.wikipedia.org/wiki/Romania" TargetMode="External"/><Relationship Id="rId154" Type="http://schemas.openxmlformats.org/officeDocument/2006/relationships/hyperlink" Target="https://en.wikipedia.org/wiki/Eswatini" TargetMode="External"/><Relationship Id="rId175" Type="http://schemas.openxmlformats.org/officeDocument/2006/relationships/hyperlink" Target="https://en.wikipedia.org/wiki/Venezuela" TargetMode="External"/><Relationship Id="rId16" Type="http://schemas.openxmlformats.org/officeDocument/2006/relationships/hyperlink" Target="https://en.wikipedia.org/wiki/Benin" TargetMode="External"/><Relationship Id="rId37" Type="http://schemas.openxmlformats.org/officeDocument/2006/relationships/hyperlink" Target="https://en.wikipedia.org/wiki/Costa_Rica" TargetMode="External"/><Relationship Id="rId58" Type="http://schemas.openxmlformats.org/officeDocument/2006/relationships/hyperlink" Target="https://en.wikipedia.org/wiki/The_Gambia" TargetMode="External"/><Relationship Id="rId79" Type="http://schemas.openxmlformats.org/officeDocument/2006/relationships/hyperlink" Target="https://en.wikipedia.org/wiki/Japan" TargetMode="External"/><Relationship Id="rId102" Type="http://schemas.openxmlformats.org/officeDocument/2006/relationships/hyperlink" Target="https://en.wikipedia.org/wiki/Malta" TargetMode="External"/><Relationship Id="rId123" Type="http://schemas.openxmlformats.org/officeDocument/2006/relationships/hyperlink" Target="https://en.wikipedia.org/wiki/Pakistan" TargetMode="External"/><Relationship Id="rId144" Type="http://schemas.openxmlformats.org/officeDocument/2006/relationships/hyperlink" Target="https://en.wikipedia.org/wiki/Sierra_Leone" TargetMode="External"/><Relationship Id="rId90" Type="http://schemas.openxmlformats.org/officeDocument/2006/relationships/hyperlink" Target="https://en.wikipedia.org/wiki/Latvia" TargetMode="External"/><Relationship Id="rId165" Type="http://schemas.openxmlformats.org/officeDocument/2006/relationships/hyperlink" Target="https://en.wikipedia.org/wiki/Turkey" TargetMode="External"/><Relationship Id="rId27" Type="http://schemas.openxmlformats.org/officeDocument/2006/relationships/hyperlink" Target="https://en.wikipedia.org/wiki/Cambodia" TargetMode="External"/><Relationship Id="rId48" Type="http://schemas.openxmlformats.org/officeDocument/2006/relationships/hyperlink" Target="https://en.wikipedia.org/wiki/Egypt" TargetMode="External"/><Relationship Id="rId69" Type="http://schemas.openxmlformats.org/officeDocument/2006/relationships/hyperlink" Target="https://en.wikipedia.org/wiki/Hong_Kong" TargetMode="External"/><Relationship Id="rId113" Type="http://schemas.openxmlformats.org/officeDocument/2006/relationships/hyperlink" Target="https://en.wikipedia.org/wiki/Namibia" TargetMode="External"/><Relationship Id="rId134" Type="http://schemas.openxmlformats.org/officeDocument/2006/relationships/hyperlink" Target="https://en.wikipedia.org/wiki/Russia" TargetMode="External"/><Relationship Id="rId80" Type="http://schemas.openxmlformats.org/officeDocument/2006/relationships/hyperlink" Target="https://en.wikipedia.org/wiki/Jordan" TargetMode="External"/><Relationship Id="rId155" Type="http://schemas.openxmlformats.org/officeDocument/2006/relationships/hyperlink" Target="https://en.wikipedia.org/wiki/Sweden" TargetMode="External"/><Relationship Id="rId176" Type="http://schemas.openxmlformats.org/officeDocument/2006/relationships/hyperlink" Target="https://en.wikipedia.org/wiki/Vietnam" TargetMode="External"/><Relationship Id="rId17" Type="http://schemas.openxmlformats.org/officeDocument/2006/relationships/hyperlink" Target="https://en.wikipedia.org/wiki/Bhutan" TargetMode="External"/><Relationship Id="rId38" Type="http://schemas.openxmlformats.org/officeDocument/2006/relationships/hyperlink" Target="https://en.wikipedia.org/wiki/Ivory_Coast" TargetMode="External"/><Relationship Id="rId59" Type="http://schemas.openxmlformats.org/officeDocument/2006/relationships/hyperlink" Target="https://en.wikipedia.org/wiki/Georgia_(country)" TargetMode="External"/><Relationship Id="rId103" Type="http://schemas.openxmlformats.org/officeDocument/2006/relationships/hyperlink" Target="https://en.wikipedia.org/wiki/Mauritania" TargetMode="External"/><Relationship Id="rId124" Type="http://schemas.openxmlformats.org/officeDocument/2006/relationships/hyperlink" Target="https://en.wikipedia.org/wiki/Panama" TargetMode="External"/><Relationship Id="rId70" Type="http://schemas.openxmlformats.org/officeDocument/2006/relationships/hyperlink" Target="https://en.wikipedia.org/wiki/Hungary" TargetMode="External"/><Relationship Id="rId91" Type="http://schemas.openxmlformats.org/officeDocument/2006/relationships/hyperlink" Target="https://en.wikipedia.org/wiki/Lebanon" TargetMode="External"/><Relationship Id="rId145" Type="http://schemas.openxmlformats.org/officeDocument/2006/relationships/hyperlink" Target="https://en.wikipedia.org/wiki/Singapore" TargetMode="External"/><Relationship Id="rId166" Type="http://schemas.openxmlformats.org/officeDocument/2006/relationships/hyperlink" Target="https://en.wikipedia.org/wiki/Turkmenistan" TargetMode="External"/><Relationship Id="rId1" Type="http://schemas.openxmlformats.org/officeDocument/2006/relationships/hyperlink" Target="https://en.wikipedia.org/wiki/Albani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7DED5-C3C0-5741-88AB-7EC2C46847FC}">
  <dimension ref="A1:BJ104"/>
  <sheetViews>
    <sheetView topLeftCell="F1" zoomScale="89" zoomScaleNormal="89" zoomScalePageLayoutView="150" workbookViewId="0">
      <selection activeCell="P1" sqref="P1:P1048576"/>
    </sheetView>
  </sheetViews>
  <sheetFormatPr baseColWidth="10" defaultColWidth="8.83203125" defaultRowHeight="15" x14ac:dyDescent="0.2"/>
  <cols>
    <col min="1" max="1" width="5.83203125" customWidth="1"/>
    <col min="2" max="2" width="34.1640625" customWidth="1"/>
    <col min="5" max="5" width="20.83203125" customWidth="1"/>
    <col min="12" max="12" width="8.33203125" customWidth="1"/>
    <col min="13" max="13" width="18.1640625" customWidth="1"/>
    <col min="15" max="15" width="18.1640625" customWidth="1"/>
    <col min="18" max="18" width="10.83203125" style="17"/>
    <col min="22" max="22" width="10.5" customWidth="1"/>
    <col min="27" max="27" width="15.6640625" bestFit="1" customWidth="1"/>
    <col min="31" max="31" width="8.83203125" style="17"/>
    <col min="32" max="32" width="16" customWidth="1"/>
    <col min="33" max="33" width="15.6640625" style="13" bestFit="1" customWidth="1"/>
    <col min="35" max="35" width="14.6640625" style="13" bestFit="1" customWidth="1"/>
    <col min="42" max="42" width="11.83203125" customWidth="1"/>
    <col min="47" max="47" width="8.6640625" customWidth="1"/>
    <col min="49" max="49" width="8" customWidth="1"/>
    <col min="51" max="51" width="9" customWidth="1"/>
    <col min="52" max="52" width="11.5" customWidth="1"/>
  </cols>
  <sheetData>
    <row r="1" spans="1:62" x14ac:dyDescent="0.2">
      <c r="A1" t="s">
        <v>746</v>
      </c>
      <c r="B1" t="s">
        <v>493</v>
      </c>
      <c r="C1" t="s">
        <v>496</v>
      </c>
      <c r="D1" t="s">
        <v>499</v>
      </c>
      <c r="E1" t="s">
        <v>502</v>
      </c>
      <c r="F1" t="s">
        <v>505</v>
      </c>
      <c r="G1" t="s">
        <v>1156</v>
      </c>
      <c r="H1" t="s">
        <v>483</v>
      </c>
      <c r="I1" t="s">
        <v>508</v>
      </c>
      <c r="J1" t="s">
        <v>1042</v>
      </c>
      <c r="K1" t="s">
        <v>510</v>
      </c>
      <c r="L1" t="s">
        <v>1039</v>
      </c>
      <c r="M1" t="s">
        <v>513</v>
      </c>
      <c r="N1" t="s">
        <v>519</v>
      </c>
      <c r="O1" t="s">
        <v>1372</v>
      </c>
      <c r="P1" s="16" t="s">
        <v>1371</v>
      </c>
      <c r="Q1" t="s">
        <v>522</v>
      </c>
      <c r="R1" s="17" t="s">
        <v>1502</v>
      </c>
      <c r="S1" t="s">
        <v>525</v>
      </c>
      <c r="T1" t="s">
        <v>529</v>
      </c>
      <c r="U1" t="s">
        <v>533</v>
      </c>
      <c r="V1" t="s">
        <v>536</v>
      </c>
      <c r="W1" t="s">
        <v>540</v>
      </c>
      <c r="X1" t="s">
        <v>545</v>
      </c>
      <c r="Y1" t="s">
        <v>547</v>
      </c>
      <c r="Z1" t="s">
        <v>551</v>
      </c>
      <c r="AA1" t="s">
        <v>554</v>
      </c>
      <c r="AB1" t="s">
        <v>557</v>
      </c>
      <c r="AC1" t="s">
        <v>559</v>
      </c>
      <c r="AD1" t="s">
        <v>561</v>
      </c>
      <c r="AE1" s="17" t="s">
        <v>563</v>
      </c>
      <c r="AF1" t="s">
        <v>567</v>
      </c>
      <c r="AG1" s="13" t="s">
        <v>570</v>
      </c>
      <c r="AH1" t="s">
        <v>884</v>
      </c>
      <c r="AI1" s="13" t="s">
        <v>573</v>
      </c>
      <c r="AJ1" t="s">
        <v>1380</v>
      </c>
      <c r="AK1" t="s">
        <v>1381</v>
      </c>
      <c r="AL1" t="s">
        <v>1046</v>
      </c>
      <c r="AM1" t="s">
        <v>1044</v>
      </c>
      <c r="AN1" t="s">
        <v>829</v>
      </c>
      <c r="AO1" t="s">
        <v>577</v>
      </c>
      <c r="AP1" t="s">
        <v>1138</v>
      </c>
      <c r="AQ1" t="s">
        <v>580</v>
      </c>
      <c r="AR1" t="s">
        <v>584</v>
      </c>
      <c r="AS1" t="s">
        <v>844</v>
      </c>
      <c r="AT1" t="s">
        <v>484</v>
      </c>
      <c r="AU1" t="s">
        <v>842</v>
      </c>
      <c r="AV1" t="s">
        <v>1167</v>
      </c>
      <c r="AW1" t="s">
        <v>841</v>
      </c>
      <c r="AX1" t="s">
        <v>1506</v>
      </c>
      <c r="AY1" t="s">
        <v>840</v>
      </c>
      <c r="AZ1" t="s">
        <v>839</v>
      </c>
      <c r="BA1" t="s">
        <v>1168</v>
      </c>
      <c r="BB1" t="s">
        <v>843</v>
      </c>
      <c r="BC1" t="s">
        <v>1507</v>
      </c>
      <c r="BD1" t="s">
        <v>837</v>
      </c>
      <c r="BE1" t="s">
        <v>1508</v>
      </c>
      <c r="BF1" t="s">
        <v>1170</v>
      </c>
      <c r="BG1" t="s">
        <v>838</v>
      </c>
      <c r="BH1" t="s">
        <v>1045</v>
      </c>
      <c r="BI1" t="s">
        <v>929</v>
      </c>
      <c r="BJ1" t="s">
        <v>850</v>
      </c>
    </row>
    <row r="2" spans="1:62" x14ac:dyDescent="0.2">
      <c r="A2">
        <v>1</v>
      </c>
      <c r="B2" t="s">
        <v>637</v>
      </c>
      <c r="C2" t="s">
        <v>74</v>
      </c>
      <c r="D2" t="s">
        <v>75</v>
      </c>
      <c r="E2" t="s">
        <v>638</v>
      </c>
      <c r="F2" t="s">
        <v>639</v>
      </c>
      <c r="G2" t="s">
        <v>1158</v>
      </c>
      <c r="H2">
        <v>2004</v>
      </c>
      <c r="I2" t="s">
        <v>747</v>
      </c>
      <c r="J2" t="s">
        <v>1064</v>
      </c>
      <c r="K2" t="s">
        <v>748</v>
      </c>
      <c r="L2" t="s">
        <v>1041</v>
      </c>
      <c r="M2">
        <v>141307489</v>
      </c>
      <c r="N2" t="s">
        <v>33</v>
      </c>
      <c r="O2" t="s">
        <v>1185</v>
      </c>
      <c r="P2">
        <v>55.6</v>
      </c>
      <c r="Q2" t="s">
        <v>51</v>
      </c>
      <c r="R2" s="17" t="s">
        <v>1503</v>
      </c>
      <c r="S2">
        <v>5.2395329104526954E-2</v>
      </c>
      <c r="T2">
        <v>460.75799999999998</v>
      </c>
      <c r="U2">
        <v>1650</v>
      </c>
      <c r="V2">
        <v>0.46200000000000002</v>
      </c>
      <c r="W2">
        <v>32.4</v>
      </c>
      <c r="X2">
        <v>26</v>
      </c>
      <c r="Y2" s="12">
        <v>1.588108E-3</v>
      </c>
      <c r="Z2" t="s">
        <v>1</v>
      </c>
      <c r="AA2">
        <v>2200000</v>
      </c>
      <c r="AB2">
        <v>730</v>
      </c>
      <c r="AC2">
        <v>38000</v>
      </c>
      <c r="AD2">
        <v>36000000</v>
      </c>
      <c r="AE2" s="17">
        <v>0.25476356741432155</v>
      </c>
      <c r="AF2" t="s">
        <v>2</v>
      </c>
      <c r="AG2">
        <v>60000000</v>
      </c>
      <c r="AH2">
        <v>209000000</v>
      </c>
      <c r="AJ2" t="s">
        <v>3</v>
      </c>
      <c r="AK2" t="s">
        <v>24</v>
      </c>
      <c r="AL2" t="s">
        <v>1052</v>
      </c>
      <c r="AM2" t="s">
        <v>47</v>
      </c>
      <c r="AN2" t="s">
        <v>832</v>
      </c>
      <c r="AO2" t="s">
        <v>5</v>
      </c>
      <c r="AP2" t="s">
        <v>1141</v>
      </c>
      <c r="AQ2" t="s">
        <v>6</v>
      </c>
      <c r="AR2" t="s">
        <v>623</v>
      </c>
      <c r="AS2" t="s">
        <v>1023</v>
      </c>
      <c r="AT2" t="s">
        <v>629</v>
      </c>
      <c r="AU2" t="s">
        <v>845</v>
      </c>
      <c r="AV2">
        <v>9</v>
      </c>
      <c r="AW2" t="s">
        <v>635</v>
      </c>
      <c r="AX2">
        <f>VLOOKUP(AW2,Metric_Codes!$C$91:$D$95,2,FALSE)</f>
        <v>2</v>
      </c>
      <c r="AY2" t="s">
        <v>814</v>
      </c>
      <c r="AZ2" t="s">
        <v>845</v>
      </c>
      <c r="BA2">
        <v>9</v>
      </c>
      <c r="BB2" t="s">
        <v>7</v>
      </c>
      <c r="BC2">
        <f>VLOOKUP(BB2,Metric_Codes!$C$91:$D$95,2,FALSE)</f>
        <v>3</v>
      </c>
      <c r="BD2" t="s">
        <v>11</v>
      </c>
      <c r="BE2">
        <f>VLOOKUP(BD2,Metric_Codes!$C$91:$D$95,2,FALSE)</f>
        <v>4</v>
      </c>
      <c r="BF2">
        <f t="shared" ref="BF2:BF65" si="0">(BC2+BE2)/2</f>
        <v>3.5</v>
      </c>
      <c r="BG2" t="s">
        <v>814</v>
      </c>
      <c r="BH2" t="s">
        <v>1037</v>
      </c>
      <c r="BI2">
        <v>96</v>
      </c>
      <c r="BJ2" t="s">
        <v>1376</v>
      </c>
    </row>
    <row r="3" spans="1:62" x14ac:dyDescent="0.2">
      <c r="A3">
        <v>2</v>
      </c>
      <c r="B3" t="s">
        <v>640</v>
      </c>
      <c r="C3" t="s">
        <v>461</v>
      </c>
      <c r="D3" t="s">
        <v>462</v>
      </c>
      <c r="E3" t="s">
        <v>641</v>
      </c>
      <c r="F3" t="s">
        <v>642</v>
      </c>
      <c r="G3" t="s">
        <v>1158</v>
      </c>
      <c r="H3">
        <v>2012</v>
      </c>
      <c r="I3" t="s">
        <v>749</v>
      </c>
      <c r="J3" t="s">
        <v>1065</v>
      </c>
      <c r="K3" t="s">
        <v>750</v>
      </c>
      <c r="L3" t="s">
        <v>1041</v>
      </c>
      <c r="M3">
        <v>313993272</v>
      </c>
      <c r="N3" t="s">
        <v>64</v>
      </c>
      <c r="O3" t="s">
        <v>1172</v>
      </c>
      <c r="P3">
        <v>76.8</v>
      </c>
      <c r="Q3" t="s">
        <v>47</v>
      </c>
      <c r="R3" s="17" t="s">
        <v>1503</v>
      </c>
      <c r="S3">
        <v>2.2240308538571441E-2</v>
      </c>
      <c r="T3">
        <v>51450.959000000003</v>
      </c>
      <c r="U3">
        <v>52850</v>
      </c>
      <c r="V3">
        <v>0.79700000000000004</v>
      </c>
      <c r="W3">
        <v>41</v>
      </c>
      <c r="X3">
        <v>71</v>
      </c>
      <c r="Y3" s="12">
        <v>4.3454039999999999E-2</v>
      </c>
      <c r="Z3" t="s">
        <v>1</v>
      </c>
      <c r="AA3">
        <v>50000000</v>
      </c>
      <c r="AB3">
        <v>54</v>
      </c>
      <c r="AC3">
        <v>776000</v>
      </c>
      <c r="AD3">
        <v>8000000</v>
      </c>
      <c r="AE3" s="17">
        <v>2.5478252922565805E-2</v>
      </c>
      <c r="AF3" t="s">
        <v>2</v>
      </c>
      <c r="AG3" s="13">
        <v>51000000</v>
      </c>
      <c r="AI3" s="13">
        <v>22800000</v>
      </c>
      <c r="AJ3" t="s">
        <v>3</v>
      </c>
      <c r="AK3" t="s">
        <v>8</v>
      </c>
      <c r="AL3" t="s">
        <v>631</v>
      </c>
      <c r="AM3" t="s">
        <v>47</v>
      </c>
      <c r="AN3" t="s">
        <v>835</v>
      </c>
      <c r="AO3" t="s">
        <v>615</v>
      </c>
      <c r="AP3" t="s">
        <v>1142</v>
      </c>
      <c r="AQ3" t="s">
        <v>9</v>
      </c>
      <c r="AR3" t="s">
        <v>624</v>
      </c>
      <c r="AS3" t="s">
        <v>1025</v>
      </c>
      <c r="AT3" t="s">
        <v>629</v>
      </c>
      <c r="AU3" t="s">
        <v>13</v>
      </c>
      <c r="AV3">
        <v>3</v>
      </c>
      <c r="AW3" t="s">
        <v>7</v>
      </c>
      <c r="AX3">
        <f>VLOOKUP(AW3,Metric_Codes!$C$91:$D$95,2,FALSE)</f>
        <v>3</v>
      </c>
      <c r="AY3" t="s">
        <v>814</v>
      </c>
      <c r="AZ3" t="s">
        <v>10</v>
      </c>
      <c r="BA3">
        <v>36</v>
      </c>
      <c r="BB3" t="s">
        <v>11</v>
      </c>
      <c r="BC3">
        <f>VLOOKUP(BB3,Metric_Codes!$C$91:$D$95,2,FALSE)</f>
        <v>4</v>
      </c>
      <c r="BD3" t="s">
        <v>11</v>
      </c>
      <c r="BE3">
        <f>VLOOKUP(BD3,Metric_Codes!$C$91:$D$95,2,FALSE)</f>
        <v>4</v>
      </c>
      <c r="BF3">
        <f t="shared" si="0"/>
        <v>4</v>
      </c>
      <c r="BG3" t="s">
        <v>814</v>
      </c>
      <c r="BH3" t="s">
        <v>1054</v>
      </c>
      <c r="BI3">
        <v>69</v>
      </c>
      <c r="BJ3" t="s">
        <v>1379</v>
      </c>
    </row>
    <row r="4" spans="1:62" x14ac:dyDescent="0.2">
      <c r="A4">
        <v>3</v>
      </c>
      <c r="B4" t="s">
        <v>643</v>
      </c>
      <c r="C4" t="s">
        <v>461</v>
      </c>
      <c r="D4" t="s">
        <v>462</v>
      </c>
      <c r="E4" t="s">
        <v>641</v>
      </c>
      <c r="F4" t="s">
        <v>644</v>
      </c>
      <c r="G4" t="s">
        <v>1158</v>
      </c>
      <c r="H4">
        <v>2005</v>
      </c>
      <c r="I4" t="s">
        <v>751</v>
      </c>
      <c r="J4" t="s">
        <v>1063</v>
      </c>
      <c r="K4" t="s">
        <v>752</v>
      </c>
      <c r="L4" t="s">
        <v>1041</v>
      </c>
      <c r="M4">
        <v>295516599</v>
      </c>
      <c r="N4" t="s">
        <v>64</v>
      </c>
      <c r="O4" t="s">
        <v>1172</v>
      </c>
      <c r="P4">
        <v>76.8</v>
      </c>
      <c r="Q4" t="s">
        <v>47</v>
      </c>
      <c r="R4" s="17" t="s">
        <v>1503</v>
      </c>
      <c r="S4">
        <v>3.3452160633487722E-2</v>
      </c>
      <c r="T4">
        <v>44307.921000000002</v>
      </c>
      <c r="U4">
        <v>44740</v>
      </c>
      <c r="V4">
        <v>0.79700000000000004</v>
      </c>
      <c r="W4">
        <v>40.5</v>
      </c>
      <c r="X4">
        <v>71</v>
      </c>
      <c r="Y4" s="12">
        <v>4.6636379999999998E-2</v>
      </c>
      <c r="Z4" t="s">
        <v>1</v>
      </c>
      <c r="AA4">
        <v>125000000</v>
      </c>
      <c r="AB4">
        <v>1836</v>
      </c>
      <c r="AC4">
        <v>1500000</v>
      </c>
      <c r="AD4">
        <v>500000</v>
      </c>
      <c r="AE4" s="17">
        <v>1.6919523359836717E-3</v>
      </c>
      <c r="AF4" t="s">
        <v>2</v>
      </c>
      <c r="AG4" s="13">
        <v>70000000</v>
      </c>
      <c r="AH4">
        <v>854000</v>
      </c>
      <c r="AI4" s="13">
        <v>60000000</v>
      </c>
      <c r="AJ4" t="s">
        <v>3</v>
      </c>
      <c r="AK4" t="s">
        <v>4</v>
      </c>
      <c r="AL4" t="s">
        <v>631</v>
      </c>
      <c r="AM4" t="s">
        <v>47</v>
      </c>
      <c r="AN4" t="s">
        <v>835</v>
      </c>
      <c r="AO4" t="s">
        <v>615</v>
      </c>
      <c r="AP4" t="s">
        <v>1141</v>
      </c>
      <c r="AQ4" t="s">
        <v>6</v>
      </c>
      <c r="AR4" t="s">
        <v>624</v>
      </c>
      <c r="AS4" t="s">
        <v>1023</v>
      </c>
      <c r="AT4" t="s">
        <v>629</v>
      </c>
      <c r="AU4" t="s">
        <v>10</v>
      </c>
      <c r="AV4">
        <v>48</v>
      </c>
      <c r="AW4" t="s">
        <v>635</v>
      </c>
      <c r="AX4">
        <f>VLOOKUP(AW4,Metric_Codes!$C$91:$D$95,2,FALSE)</f>
        <v>2</v>
      </c>
      <c r="AY4" t="s">
        <v>814</v>
      </c>
      <c r="AZ4" t="s">
        <v>10</v>
      </c>
      <c r="BA4">
        <v>60</v>
      </c>
      <c r="BB4" t="s">
        <v>635</v>
      </c>
      <c r="BC4">
        <f>VLOOKUP(BB4,Metric_Codes!$C$91:$D$95,2,FALSE)</f>
        <v>2</v>
      </c>
      <c r="BD4" t="s">
        <v>11</v>
      </c>
      <c r="BE4">
        <f>VLOOKUP(BD4,Metric_Codes!$C$91:$D$95,2,FALSE)</f>
        <v>4</v>
      </c>
      <c r="BF4">
        <f t="shared" si="0"/>
        <v>3</v>
      </c>
      <c r="BG4" t="s">
        <v>814</v>
      </c>
      <c r="BH4" t="s">
        <v>1050</v>
      </c>
      <c r="BI4">
        <v>22</v>
      </c>
      <c r="BJ4" t="s">
        <v>1378</v>
      </c>
    </row>
    <row r="5" spans="1:62" x14ac:dyDescent="0.2">
      <c r="A5">
        <v>4</v>
      </c>
      <c r="B5" t="s">
        <v>645</v>
      </c>
      <c r="C5" t="s">
        <v>222</v>
      </c>
      <c r="D5" t="s">
        <v>223</v>
      </c>
      <c r="E5" t="s">
        <v>638</v>
      </c>
      <c r="F5" t="s">
        <v>639</v>
      </c>
      <c r="G5" t="s">
        <v>1158</v>
      </c>
      <c r="H5">
        <v>2014</v>
      </c>
      <c r="I5" t="s">
        <v>753</v>
      </c>
      <c r="J5" t="s">
        <v>1064</v>
      </c>
      <c r="K5" t="s">
        <v>754</v>
      </c>
      <c r="L5" t="s">
        <v>1041</v>
      </c>
      <c r="M5">
        <v>1293859290</v>
      </c>
      <c r="N5" t="s">
        <v>57</v>
      </c>
      <c r="O5" t="s">
        <v>1172</v>
      </c>
      <c r="P5">
        <v>55.2</v>
      </c>
      <c r="Q5" t="s">
        <v>51</v>
      </c>
      <c r="R5" s="17" t="s">
        <v>1503</v>
      </c>
      <c r="S5">
        <v>7.4102276051640534E-2</v>
      </c>
      <c r="T5">
        <v>1574.0039999999999</v>
      </c>
      <c r="U5">
        <v>5610</v>
      </c>
      <c r="V5">
        <v>0.46800000000000003</v>
      </c>
      <c r="W5">
        <v>35.1</v>
      </c>
      <c r="X5">
        <v>41</v>
      </c>
      <c r="Y5" s="12">
        <v>6.8685309999999998E-3</v>
      </c>
      <c r="Z5" t="s">
        <v>1</v>
      </c>
      <c r="AA5">
        <v>7000000</v>
      </c>
      <c r="AB5">
        <v>53</v>
      </c>
      <c r="AC5">
        <v>1300000</v>
      </c>
      <c r="AD5">
        <v>920000</v>
      </c>
      <c r="AE5" s="17">
        <v>7.110510448164731E-4</v>
      </c>
      <c r="AF5" t="s">
        <v>12</v>
      </c>
      <c r="AG5"/>
      <c r="AI5" s="13">
        <v>530000</v>
      </c>
      <c r="AJ5" t="s">
        <v>13</v>
      </c>
      <c r="AK5" t="s">
        <v>4</v>
      </c>
      <c r="AL5" t="s">
        <v>1052</v>
      </c>
      <c r="AM5" t="s">
        <v>47</v>
      </c>
      <c r="AN5" t="s">
        <v>835</v>
      </c>
      <c r="AO5" t="s">
        <v>5</v>
      </c>
      <c r="AP5" t="s">
        <v>1141</v>
      </c>
      <c r="AQ5" t="s">
        <v>6</v>
      </c>
      <c r="AR5" t="s">
        <v>623</v>
      </c>
      <c r="AS5" t="s">
        <v>1030</v>
      </c>
      <c r="AT5" t="s">
        <v>629</v>
      </c>
      <c r="AU5" t="s">
        <v>13</v>
      </c>
      <c r="AV5">
        <v>3</v>
      </c>
      <c r="AW5" t="s">
        <v>635</v>
      </c>
      <c r="AX5">
        <f>VLOOKUP(AW5,Metric_Codes!$C$91:$D$95,2,FALSE)</f>
        <v>2</v>
      </c>
      <c r="AY5" t="s">
        <v>814</v>
      </c>
      <c r="AZ5" t="s">
        <v>845</v>
      </c>
      <c r="BA5">
        <v>9</v>
      </c>
      <c r="BB5" t="s">
        <v>7</v>
      </c>
      <c r="BC5">
        <f>VLOOKUP(BB5,Metric_Codes!$C$91:$D$95,2,FALSE)</f>
        <v>3</v>
      </c>
      <c r="BD5" t="s">
        <v>7</v>
      </c>
      <c r="BE5">
        <f>VLOOKUP(BD5,Metric_Codes!$C$91:$D$95,2,FALSE)</f>
        <v>3</v>
      </c>
      <c r="BF5">
        <f t="shared" si="0"/>
        <v>3</v>
      </c>
      <c r="BG5" t="s">
        <v>814</v>
      </c>
      <c r="BH5" t="s">
        <v>1037</v>
      </c>
      <c r="BI5">
        <v>66</v>
      </c>
      <c r="BJ5" t="s">
        <v>1377</v>
      </c>
    </row>
    <row r="6" spans="1:62" x14ac:dyDescent="0.2">
      <c r="A6">
        <v>5</v>
      </c>
      <c r="B6" t="s">
        <v>646</v>
      </c>
      <c r="C6" t="s">
        <v>355</v>
      </c>
      <c r="D6" t="s">
        <v>356</v>
      </c>
      <c r="E6" t="s">
        <v>641</v>
      </c>
      <c r="F6" t="s">
        <v>644</v>
      </c>
      <c r="G6" t="s">
        <v>1158</v>
      </c>
      <c r="H6">
        <v>2013</v>
      </c>
      <c r="I6" t="s">
        <v>751</v>
      </c>
      <c r="J6" t="s">
        <v>1063</v>
      </c>
      <c r="K6" t="s">
        <v>755</v>
      </c>
      <c r="L6" t="s">
        <v>1041</v>
      </c>
      <c r="M6">
        <v>98481032</v>
      </c>
      <c r="N6" t="s">
        <v>57</v>
      </c>
      <c r="O6" t="s">
        <v>1172</v>
      </c>
      <c r="P6">
        <v>63.8</v>
      </c>
      <c r="Q6" t="s">
        <v>51</v>
      </c>
      <c r="R6" s="17" t="s">
        <v>1503</v>
      </c>
      <c r="S6">
        <v>7.0640242638154549E-2</v>
      </c>
      <c r="T6">
        <v>2760.2890000000002</v>
      </c>
      <c r="U6">
        <v>7930</v>
      </c>
      <c r="V6">
        <v>0.57399999999999995</v>
      </c>
      <c r="W6">
        <v>40.1</v>
      </c>
      <c r="X6">
        <v>36</v>
      </c>
      <c r="Y6" s="12">
        <v>4.6404280000000003E-3</v>
      </c>
      <c r="Z6" t="s">
        <v>1</v>
      </c>
      <c r="AA6">
        <v>10000000</v>
      </c>
      <c r="AB6">
        <v>7354</v>
      </c>
      <c r="AC6">
        <v>4000000</v>
      </c>
      <c r="AD6">
        <v>16106870</v>
      </c>
      <c r="AE6" s="17">
        <v>0.16355301800655378</v>
      </c>
      <c r="AF6" t="s">
        <v>12</v>
      </c>
      <c r="AG6">
        <v>2100000</v>
      </c>
      <c r="AH6">
        <v>865000</v>
      </c>
      <c r="AI6" s="13">
        <v>700000</v>
      </c>
      <c r="AJ6" t="s">
        <v>16</v>
      </c>
      <c r="AK6" t="s">
        <v>8</v>
      </c>
      <c r="AL6" t="s">
        <v>600</v>
      </c>
      <c r="AM6" t="s">
        <v>47</v>
      </c>
      <c r="AN6" t="s">
        <v>834</v>
      </c>
      <c r="AO6" t="s">
        <v>17</v>
      </c>
      <c r="AP6" t="s">
        <v>1142</v>
      </c>
      <c r="AQ6" t="s">
        <v>9</v>
      </c>
      <c r="AR6" t="s">
        <v>623</v>
      </c>
      <c r="AS6" t="s">
        <v>1030</v>
      </c>
      <c r="AT6" t="s">
        <v>629</v>
      </c>
      <c r="AU6" t="s">
        <v>22</v>
      </c>
      <c r="AV6">
        <v>18</v>
      </c>
      <c r="AW6" t="s">
        <v>7</v>
      </c>
      <c r="AX6">
        <f>VLOOKUP(AW6,Metric_Codes!$C$91:$D$95,2,FALSE)</f>
        <v>3</v>
      </c>
      <c r="AY6" t="s">
        <v>47</v>
      </c>
      <c r="AZ6" t="s">
        <v>10</v>
      </c>
      <c r="BA6">
        <v>36</v>
      </c>
      <c r="BB6" t="s">
        <v>11</v>
      </c>
      <c r="BC6">
        <f>VLOOKUP(BB6,Metric_Codes!$C$91:$D$95,2,FALSE)</f>
        <v>4</v>
      </c>
      <c r="BD6" t="s">
        <v>7</v>
      </c>
      <c r="BE6">
        <f>VLOOKUP(BD6,Metric_Codes!$C$91:$D$95,2,FALSE)</f>
        <v>3</v>
      </c>
      <c r="BF6">
        <f t="shared" si="0"/>
        <v>3.5</v>
      </c>
      <c r="BG6" t="s">
        <v>47</v>
      </c>
      <c r="BH6" t="s">
        <v>1051</v>
      </c>
      <c r="BI6">
        <v>56</v>
      </c>
      <c r="BJ6" t="s">
        <v>1001</v>
      </c>
    </row>
    <row r="7" spans="1:62" x14ac:dyDescent="0.2">
      <c r="A7">
        <v>6</v>
      </c>
      <c r="B7" t="s">
        <v>647</v>
      </c>
      <c r="C7" t="s">
        <v>471</v>
      </c>
      <c r="D7" t="s">
        <v>472</v>
      </c>
      <c r="E7" t="s">
        <v>641</v>
      </c>
      <c r="F7" t="s">
        <v>644</v>
      </c>
      <c r="G7" t="s">
        <v>1158</v>
      </c>
      <c r="H7">
        <v>2017</v>
      </c>
      <c r="I7" t="s">
        <v>756</v>
      </c>
      <c r="J7" t="s">
        <v>1066</v>
      </c>
      <c r="K7" t="s">
        <v>757</v>
      </c>
      <c r="L7" t="s">
        <v>1041</v>
      </c>
      <c r="M7">
        <v>95540800</v>
      </c>
      <c r="N7" t="s">
        <v>41</v>
      </c>
      <c r="O7" t="s">
        <v>1154</v>
      </c>
      <c r="P7">
        <v>55.3</v>
      </c>
      <c r="Q7" t="s">
        <v>51</v>
      </c>
      <c r="R7" s="17" t="s">
        <v>1503</v>
      </c>
      <c r="S7">
        <v>6.8122456596397998E-2</v>
      </c>
      <c r="T7">
        <v>2343.125</v>
      </c>
      <c r="U7">
        <v>6450</v>
      </c>
      <c r="V7">
        <v>0.57399999999999995</v>
      </c>
      <c r="W7">
        <v>34.799999999999997</v>
      </c>
      <c r="X7">
        <v>33</v>
      </c>
      <c r="Y7" s="12">
        <v>8.0000000000000002E-3</v>
      </c>
      <c r="Z7" t="s">
        <v>599</v>
      </c>
      <c r="AA7">
        <v>1000000</v>
      </c>
      <c r="AB7">
        <v>123</v>
      </c>
      <c r="AC7">
        <v>36000</v>
      </c>
      <c r="AD7">
        <v>4330000</v>
      </c>
      <c r="AE7" s="17">
        <v>4.5320951886523873E-2</v>
      </c>
      <c r="AF7" t="s">
        <v>12</v>
      </c>
      <c r="AG7">
        <v>13000000</v>
      </c>
      <c r="AJ7" t="s">
        <v>13</v>
      </c>
      <c r="AK7" t="s">
        <v>4</v>
      </c>
      <c r="AL7" t="s">
        <v>1052</v>
      </c>
      <c r="AM7" t="s">
        <v>47</v>
      </c>
      <c r="AN7" t="s">
        <v>831</v>
      </c>
      <c r="AO7" t="s">
        <v>5</v>
      </c>
      <c r="AP7" t="s">
        <v>1143</v>
      </c>
      <c r="AQ7" t="s">
        <v>9</v>
      </c>
      <c r="AR7" t="s">
        <v>624</v>
      </c>
      <c r="AS7" t="s">
        <v>1025</v>
      </c>
      <c r="AT7" t="s">
        <v>629</v>
      </c>
      <c r="AU7" t="s">
        <v>22</v>
      </c>
      <c r="AV7">
        <v>18</v>
      </c>
      <c r="AW7" t="s">
        <v>7</v>
      </c>
      <c r="AX7">
        <f>VLOOKUP(AW7,Metric_Codes!$C$91:$D$95,2,FALSE)</f>
        <v>3</v>
      </c>
      <c r="AY7" t="s">
        <v>47</v>
      </c>
      <c r="AZ7" t="s">
        <v>13</v>
      </c>
      <c r="BA7">
        <v>3</v>
      </c>
      <c r="BB7" t="s">
        <v>7</v>
      </c>
      <c r="BC7">
        <f>VLOOKUP(BB7,Metric_Codes!$C$91:$D$95,2,FALSE)</f>
        <v>3</v>
      </c>
      <c r="BD7" t="s">
        <v>11</v>
      </c>
      <c r="BE7">
        <f>VLOOKUP(BD7,Metric_Codes!$C$91:$D$95,2,FALSE)</f>
        <v>4</v>
      </c>
      <c r="BF7">
        <f t="shared" si="0"/>
        <v>3.5</v>
      </c>
      <c r="BG7" t="s">
        <v>47</v>
      </c>
      <c r="BH7" t="s">
        <v>1037</v>
      </c>
      <c r="BI7">
        <v>71</v>
      </c>
      <c r="BJ7" t="s">
        <v>1053</v>
      </c>
    </row>
    <row r="8" spans="1:62" x14ac:dyDescent="0.2">
      <c r="A8">
        <v>7</v>
      </c>
      <c r="B8" t="s">
        <v>648</v>
      </c>
      <c r="C8" t="s">
        <v>190</v>
      </c>
      <c r="D8" t="s">
        <v>191</v>
      </c>
      <c r="E8" t="s">
        <v>638</v>
      </c>
      <c r="F8" t="s">
        <v>639</v>
      </c>
      <c r="G8" t="s">
        <v>1158</v>
      </c>
      <c r="H8">
        <v>2013</v>
      </c>
      <c r="I8" t="s">
        <v>758</v>
      </c>
      <c r="J8" t="s">
        <v>1065</v>
      </c>
      <c r="K8" t="s">
        <v>759</v>
      </c>
      <c r="L8" t="s">
        <v>516</v>
      </c>
      <c r="M8">
        <v>80645605</v>
      </c>
      <c r="N8" t="s">
        <v>67</v>
      </c>
      <c r="O8" t="s">
        <v>1185</v>
      </c>
      <c r="P8">
        <v>73.5</v>
      </c>
      <c r="Q8" t="s">
        <v>47</v>
      </c>
      <c r="R8" s="17" t="s">
        <v>1504</v>
      </c>
      <c r="S8">
        <v>4.8958448249463516E-3</v>
      </c>
      <c r="T8">
        <v>47262.283000000003</v>
      </c>
      <c r="U8">
        <v>46250</v>
      </c>
      <c r="V8">
        <v>0.86099999999999999</v>
      </c>
      <c r="W8">
        <v>31.7</v>
      </c>
      <c r="X8">
        <v>80</v>
      </c>
      <c r="Y8" s="12">
        <v>3.4656689999999997E-2</v>
      </c>
      <c r="Z8" t="s">
        <v>19</v>
      </c>
      <c r="AA8">
        <v>12900000</v>
      </c>
      <c r="AB8">
        <v>4</v>
      </c>
      <c r="AD8">
        <v>1000000</v>
      </c>
      <c r="AE8" s="17">
        <v>1.2399931775575371E-2</v>
      </c>
      <c r="AF8" t="s">
        <v>2</v>
      </c>
      <c r="AG8" s="13">
        <v>8000000</v>
      </c>
      <c r="AH8">
        <v>0</v>
      </c>
      <c r="AI8" s="13">
        <v>700000</v>
      </c>
      <c r="AJ8" t="s">
        <v>16</v>
      </c>
      <c r="AK8" t="s">
        <v>8</v>
      </c>
      <c r="AL8" t="s">
        <v>631</v>
      </c>
      <c r="AM8" t="s">
        <v>47</v>
      </c>
      <c r="AN8" t="s">
        <v>835</v>
      </c>
      <c r="AO8" t="s">
        <v>615</v>
      </c>
      <c r="AP8" t="s">
        <v>1143</v>
      </c>
      <c r="AQ8" t="s">
        <v>9</v>
      </c>
      <c r="AR8" t="s">
        <v>624</v>
      </c>
      <c r="AS8" t="s">
        <v>1024</v>
      </c>
      <c r="AT8" t="s">
        <v>846</v>
      </c>
      <c r="AU8" t="s">
        <v>13</v>
      </c>
      <c r="AV8">
        <v>3</v>
      </c>
      <c r="AW8" t="s">
        <v>7</v>
      </c>
      <c r="AX8">
        <f>VLOOKUP(AW8,Metric_Codes!$C$91:$D$95,2,FALSE)</f>
        <v>3</v>
      </c>
      <c r="AY8" t="s">
        <v>47</v>
      </c>
      <c r="AZ8" t="s">
        <v>21</v>
      </c>
      <c r="BA8">
        <v>1</v>
      </c>
      <c r="BB8" t="s">
        <v>7</v>
      </c>
      <c r="BC8">
        <f>VLOOKUP(BB8,Metric_Codes!$C$91:$D$95,2,FALSE)</f>
        <v>3</v>
      </c>
      <c r="BD8" t="s">
        <v>11</v>
      </c>
      <c r="BE8">
        <f>VLOOKUP(BD8,Metric_Codes!$C$91:$D$95,2,FALSE)</f>
        <v>4</v>
      </c>
      <c r="BF8">
        <f t="shared" si="0"/>
        <v>3.5</v>
      </c>
      <c r="BG8" t="s">
        <v>47</v>
      </c>
      <c r="BH8" t="s">
        <v>1050</v>
      </c>
      <c r="BI8">
        <v>39</v>
      </c>
      <c r="BJ8" t="s">
        <v>1002</v>
      </c>
    </row>
    <row r="9" spans="1:62" x14ac:dyDescent="0.2">
      <c r="A9">
        <v>8</v>
      </c>
      <c r="B9" t="s">
        <v>649</v>
      </c>
      <c r="C9" t="s">
        <v>459</v>
      </c>
      <c r="D9" t="s">
        <v>460</v>
      </c>
      <c r="E9" t="s">
        <v>638</v>
      </c>
      <c r="F9" t="s">
        <v>639</v>
      </c>
      <c r="G9" t="s">
        <v>1158</v>
      </c>
      <c r="H9">
        <v>2007</v>
      </c>
      <c r="I9" t="s">
        <v>760</v>
      </c>
      <c r="J9" t="s">
        <v>1065</v>
      </c>
      <c r="K9" t="s">
        <v>761</v>
      </c>
      <c r="L9" t="s">
        <v>516</v>
      </c>
      <c r="M9">
        <v>61322463</v>
      </c>
      <c r="N9" t="s">
        <v>64</v>
      </c>
      <c r="O9" t="s">
        <v>1172</v>
      </c>
      <c r="P9">
        <v>78.900000000000006</v>
      </c>
      <c r="Q9" t="s">
        <v>47</v>
      </c>
      <c r="R9" s="17" t="s">
        <v>1503</v>
      </c>
      <c r="S9">
        <v>2.3567082298228854E-2</v>
      </c>
      <c r="T9">
        <v>50134.315999999999</v>
      </c>
      <c r="U9">
        <v>35540</v>
      </c>
      <c r="V9">
        <v>0.83499999999999996</v>
      </c>
      <c r="W9">
        <v>33.200000000000003</v>
      </c>
      <c r="X9">
        <v>80</v>
      </c>
      <c r="Y9" s="12">
        <v>2.840852E-2</v>
      </c>
      <c r="Z9" t="s">
        <v>19</v>
      </c>
      <c r="AA9">
        <v>4000000</v>
      </c>
      <c r="AB9">
        <v>13</v>
      </c>
      <c r="AC9">
        <v>30000</v>
      </c>
      <c r="AD9">
        <v>1000000</v>
      </c>
      <c r="AE9" s="17">
        <v>1.6307238018146791E-2</v>
      </c>
      <c r="AF9" t="s">
        <v>2</v>
      </c>
      <c r="AH9">
        <v>0</v>
      </c>
      <c r="AI9" s="13">
        <v>670000</v>
      </c>
      <c r="AJ9" t="s">
        <v>16</v>
      </c>
      <c r="AK9" t="s">
        <v>8</v>
      </c>
      <c r="AL9" t="s">
        <v>631</v>
      </c>
      <c r="AM9" t="s">
        <v>47</v>
      </c>
      <c r="AN9" t="s">
        <v>835</v>
      </c>
      <c r="AO9" t="s">
        <v>615</v>
      </c>
      <c r="AP9" t="s">
        <v>1143</v>
      </c>
      <c r="AQ9" t="s">
        <v>9</v>
      </c>
      <c r="AR9" t="s">
        <v>624</v>
      </c>
      <c r="AS9" t="s">
        <v>1024</v>
      </c>
      <c r="AT9" t="s">
        <v>846</v>
      </c>
      <c r="AU9" t="s">
        <v>845</v>
      </c>
      <c r="AV9">
        <v>9</v>
      </c>
      <c r="AW9" t="s">
        <v>7</v>
      </c>
      <c r="AX9">
        <f>VLOOKUP(AW9,Metric_Codes!$C$91:$D$95,2,FALSE)</f>
        <v>3</v>
      </c>
      <c r="AY9" t="s">
        <v>47</v>
      </c>
      <c r="AZ9" t="s">
        <v>22</v>
      </c>
      <c r="BA9">
        <v>12</v>
      </c>
      <c r="BB9" t="s">
        <v>7</v>
      </c>
      <c r="BC9">
        <f>VLOOKUP(BB9,Metric_Codes!$C$91:$D$95,2,FALSE)</f>
        <v>3</v>
      </c>
      <c r="BD9" t="s">
        <v>11</v>
      </c>
      <c r="BE9">
        <f>VLOOKUP(BD9,Metric_Codes!$C$91:$D$95,2,FALSE)</f>
        <v>4</v>
      </c>
      <c r="BF9">
        <f t="shared" si="0"/>
        <v>3.5</v>
      </c>
      <c r="BG9" t="s">
        <v>47</v>
      </c>
      <c r="BH9" t="s">
        <v>1054</v>
      </c>
      <c r="BI9">
        <v>92</v>
      </c>
      <c r="BJ9" t="s">
        <v>1003</v>
      </c>
    </row>
    <row r="10" spans="1:62" x14ac:dyDescent="0.2">
      <c r="A10">
        <v>9</v>
      </c>
      <c r="B10" t="s">
        <v>650</v>
      </c>
      <c r="C10" t="s">
        <v>240</v>
      </c>
      <c r="D10" t="s">
        <v>241</v>
      </c>
      <c r="E10" t="s">
        <v>641</v>
      </c>
      <c r="F10" t="s">
        <v>644</v>
      </c>
      <c r="G10" t="s">
        <v>1158</v>
      </c>
      <c r="H10">
        <v>2004</v>
      </c>
      <c r="I10" t="s">
        <v>753</v>
      </c>
      <c r="J10" t="s">
        <v>1064</v>
      </c>
      <c r="K10" t="s">
        <v>762</v>
      </c>
      <c r="L10" t="s">
        <v>1041</v>
      </c>
      <c r="M10">
        <v>127761000</v>
      </c>
      <c r="N10" t="s">
        <v>67</v>
      </c>
      <c r="O10" t="s">
        <v>1172</v>
      </c>
      <c r="P10">
        <v>72.099999999999994</v>
      </c>
      <c r="Q10" t="s">
        <v>47</v>
      </c>
      <c r="R10" s="17" t="s">
        <v>1503</v>
      </c>
      <c r="S10">
        <v>2.2046878823192912E-2</v>
      </c>
      <c r="T10">
        <v>37688.722000000002</v>
      </c>
      <c r="U10">
        <v>30930</v>
      </c>
      <c r="V10">
        <v>0.876</v>
      </c>
      <c r="W10">
        <v>32.1</v>
      </c>
      <c r="X10">
        <v>73</v>
      </c>
      <c r="Y10" s="12">
        <v>2.224048E-2</v>
      </c>
      <c r="Z10" t="s">
        <v>599</v>
      </c>
      <c r="AA10">
        <v>2300000</v>
      </c>
      <c r="AB10">
        <v>89</v>
      </c>
      <c r="AC10">
        <v>21000</v>
      </c>
      <c r="AD10">
        <v>84792</v>
      </c>
      <c r="AE10" s="17">
        <v>6.6367670885481489E-4</v>
      </c>
      <c r="AF10" t="s">
        <v>2</v>
      </c>
      <c r="AI10" s="13">
        <v>1100000</v>
      </c>
      <c r="AJ10" t="s">
        <v>16</v>
      </c>
      <c r="AK10" t="s">
        <v>8</v>
      </c>
      <c r="AL10" t="s">
        <v>600</v>
      </c>
      <c r="AM10" t="s">
        <v>814</v>
      </c>
      <c r="AN10" t="s">
        <v>835</v>
      </c>
      <c r="AO10" t="s">
        <v>615</v>
      </c>
      <c r="AP10" t="s">
        <v>1143</v>
      </c>
      <c r="AQ10" t="s">
        <v>9</v>
      </c>
      <c r="AR10" t="s">
        <v>624</v>
      </c>
      <c r="AS10" t="s">
        <v>1024</v>
      </c>
      <c r="AT10" t="s">
        <v>629</v>
      </c>
      <c r="AU10" t="s">
        <v>13</v>
      </c>
      <c r="AV10">
        <v>3</v>
      </c>
      <c r="AW10" t="s">
        <v>7</v>
      </c>
      <c r="AX10">
        <f>VLOOKUP(AW10,Metric_Codes!$C$91:$D$95,2,FALSE)</f>
        <v>3</v>
      </c>
      <c r="AY10" t="s">
        <v>32</v>
      </c>
      <c r="AZ10" t="s">
        <v>22</v>
      </c>
      <c r="BA10">
        <v>12</v>
      </c>
      <c r="BB10" t="s">
        <v>7</v>
      </c>
      <c r="BC10">
        <f>VLOOKUP(BB10,Metric_Codes!$C$91:$D$95,2,FALSE)</f>
        <v>3</v>
      </c>
      <c r="BD10" t="s">
        <v>7</v>
      </c>
      <c r="BE10">
        <f>VLOOKUP(BD10,Metric_Codes!$C$91:$D$95,2,FALSE)</f>
        <v>3</v>
      </c>
      <c r="BF10">
        <f t="shared" si="0"/>
        <v>3</v>
      </c>
      <c r="BG10" t="s">
        <v>32</v>
      </c>
      <c r="BH10" t="s">
        <v>1051</v>
      </c>
      <c r="BI10">
        <v>1</v>
      </c>
      <c r="BJ10" t="s">
        <v>1057</v>
      </c>
    </row>
    <row r="11" spans="1:62" x14ac:dyDescent="0.2">
      <c r="A11">
        <v>10</v>
      </c>
      <c r="B11" t="s">
        <v>651</v>
      </c>
      <c r="C11" t="s">
        <v>127</v>
      </c>
      <c r="D11" t="s">
        <v>128</v>
      </c>
      <c r="E11" t="s">
        <v>638</v>
      </c>
      <c r="F11" t="s">
        <v>639</v>
      </c>
      <c r="G11" t="s">
        <v>1158</v>
      </c>
      <c r="H11">
        <v>2010</v>
      </c>
      <c r="I11" t="s">
        <v>849</v>
      </c>
      <c r="J11" t="s">
        <v>1064</v>
      </c>
      <c r="K11" t="s">
        <v>763</v>
      </c>
      <c r="L11" t="s">
        <v>516</v>
      </c>
      <c r="M11">
        <v>1337705000</v>
      </c>
      <c r="N11" t="s">
        <v>57</v>
      </c>
      <c r="O11" t="s">
        <v>1185</v>
      </c>
      <c r="P11">
        <v>67.3</v>
      </c>
      <c r="Q11" t="s">
        <v>37</v>
      </c>
      <c r="R11" s="17" t="s">
        <v>1503</v>
      </c>
      <c r="S11">
        <v>0.10636140463229765</v>
      </c>
      <c r="T11">
        <v>4560.5129999999999</v>
      </c>
      <c r="U11">
        <v>9290</v>
      </c>
      <c r="V11">
        <v>0.64300000000000002</v>
      </c>
      <c r="W11">
        <v>42.2</v>
      </c>
      <c r="X11">
        <v>39</v>
      </c>
      <c r="Y11" s="12">
        <v>1.192495E-2</v>
      </c>
      <c r="Z11" t="s">
        <v>1</v>
      </c>
      <c r="AA11">
        <v>18171000</v>
      </c>
      <c r="AB11">
        <v>1691</v>
      </c>
      <c r="AC11">
        <v>15200000</v>
      </c>
      <c r="AD11">
        <v>134000000</v>
      </c>
      <c r="AE11" s="17">
        <v>0.1001715624894876</v>
      </c>
      <c r="AF11" t="s">
        <v>12</v>
      </c>
      <c r="AG11"/>
      <c r="AI11" s="13">
        <v>596000</v>
      </c>
      <c r="AJ11" t="s">
        <v>16</v>
      </c>
      <c r="AK11" t="s">
        <v>4</v>
      </c>
      <c r="AL11" t="s">
        <v>1052</v>
      </c>
      <c r="AM11" t="s">
        <v>47</v>
      </c>
      <c r="AN11" t="s">
        <v>831</v>
      </c>
      <c r="AO11" t="s">
        <v>5</v>
      </c>
      <c r="AP11" t="s">
        <v>1142</v>
      </c>
      <c r="AQ11" t="s">
        <v>6</v>
      </c>
      <c r="AR11" t="s">
        <v>624</v>
      </c>
      <c r="AS11" t="s">
        <v>1025</v>
      </c>
      <c r="AT11" t="s">
        <v>631</v>
      </c>
      <c r="AU11" t="s">
        <v>22</v>
      </c>
      <c r="AV11">
        <v>18</v>
      </c>
      <c r="AW11" t="s">
        <v>7</v>
      </c>
      <c r="AX11">
        <f>VLOOKUP(AW11,Metric_Codes!$C$91:$D$95,2,FALSE)</f>
        <v>3</v>
      </c>
      <c r="AY11" t="s">
        <v>32</v>
      </c>
      <c r="AZ11" t="s">
        <v>22</v>
      </c>
      <c r="BA11">
        <v>18</v>
      </c>
      <c r="BB11" t="s">
        <v>7</v>
      </c>
      <c r="BC11">
        <f>VLOOKUP(BB11,Metric_Codes!$C$91:$D$95,2,FALSE)</f>
        <v>3</v>
      </c>
      <c r="BD11" t="s">
        <v>11</v>
      </c>
      <c r="BE11">
        <f>VLOOKUP(BD11,Metric_Codes!$C$91:$D$95,2,FALSE)</f>
        <v>4</v>
      </c>
      <c r="BF11">
        <f t="shared" si="0"/>
        <v>3.5</v>
      </c>
      <c r="BG11" t="s">
        <v>32</v>
      </c>
      <c r="BH11" t="s">
        <v>1037</v>
      </c>
      <c r="BI11">
        <v>5</v>
      </c>
      <c r="BJ11" t="s">
        <v>1004</v>
      </c>
    </row>
    <row r="12" spans="1:62" x14ac:dyDescent="0.2">
      <c r="A12">
        <v>11</v>
      </c>
      <c r="B12" t="s">
        <v>652</v>
      </c>
      <c r="C12" t="s">
        <v>214</v>
      </c>
      <c r="D12" t="s">
        <v>215</v>
      </c>
      <c r="E12" t="s">
        <v>641</v>
      </c>
      <c r="F12" t="s">
        <v>644</v>
      </c>
      <c r="G12" t="s">
        <v>1158</v>
      </c>
      <c r="H12">
        <v>1998</v>
      </c>
      <c r="I12" t="s">
        <v>751</v>
      </c>
      <c r="J12" t="s">
        <v>1063</v>
      </c>
      <c r="K12" t="s">
        <v>764</v>
      </c>
      <c r="L12" t="s">
        <v>516</v>
      </c>
      <c r="M12">
        <v>6192026</v>
      </c>
      <c r="N12" t="s">
        <v>248</v>
      </c>
      <c r="O12" t="s">
        <v>1185</v>
      </c>
      <c r="P12">
        <v>60.2</v>
      </c>
      <c r="Q12" t="s">
        <v>51</v>
      </c>
      <c r="R12" s="17" t="s">
        <v>1503</v>
      </c>
      <c r="S12">
        <v>3.5999999999999997E-2</v>
      </c>
      <c r="T12">
        <v>1028.2</v>
      </c>
      <c r="U12">
        <v>2430</v>
      </c>
      <c r="V12">
        <v>0.45900000000000002</v>
      </c>
      <c r="W12">
        <v>50.5</v>
      </c>
      <c r="X12">
        <v>29</v>
      </c>
      <c r="Y12" s="12">
        <v>6.0000000000000001E-3</v>
      </c>
      <c r="Z12" t="s">
        <v>14</v>
      </c>
      <c r="AA12">
        <v>3800000</v>
      </c>
      <c r="AB12">
        <v>22658</v>
      </c>
      <c r="AC12">
        <v>441150</v>
      </c>
      <c r="AD12">
        <v>868228</v>
      </c>
      <c r="AE12" s="17">
        <v>0.14021711149145691</v>
      </c>
      <c r="AF12" t="s">
        <v>2</v>
      </c>
      <c r="AG12"/>
      <c r="AH12">
        <v>2800000</v>
      </c>
      <c r="AI12" s="14">
        <v>150000</v>
      </c>
      <c r="AJ12" t="s">
        <v>3</v>
      </c>
      <c r="AK12" t="s">
        <v>4</v>
      </c>
      <c r="AL12" t="s">
        <v>600</v>
      </c>
      <c r="AM12" t="s">
        <v>47</v>
      </c>
      <c r="AN12" t="s">
        <v>832</v>
      </c>
      <c r="AO12" t="s">
        <v>5</v>
      </c>
      <c r="AP12" t="s">
        <v>1140</v>
      </c>
      <c r="AQ12" t="s">
        <v>6</v>
      </c>
      <c r="AR12" t="s">
        <v>623</v>
      </c>
      <c r="AS12" t="s">
        <v>1023</v>
      </c>
      <c r="AT12" t="s">
        <v>629</v>
      </c>
      <c r="AU12" t="s">
        <v>10</v>
      </c>
      <c r="AV12">
        <v>48</v>
      </c>
      <c r="AW12" t="s">
        <v>634</v>
      </c>
      <c r="AX12">
        <f>VLOOKUP(AW12,Metric_Codes!$C$91:$D$95,2,FALSE)</f>
        <v>1</v>
      </c>
      <c r="AY12" t="s">
        <v>814</v>
      </c>
      <c r="AZ12" t="s">
        <v>10</v>
      </c>
      <c r="BA12">
        <v>60</v>
      </c>
      <c r="BB12" t="s">
        <v>7</v>
      </c>
      <c r="BC12">
        <f>VLOOKUP(BB12,Metric_Codes!$C$91:$D$95,2,FALSE)</f>
        <v>3</v>
      </c>
      <c r="BD12" t="s">
        <v>7</v>
      </c>
      <c r="BE12">
        <f>VLOOKUP(BD12,Metric_Codes!$C$91:$D$95,2,FALSE)</f>
        <v>3</v>
      </c>
      <c r="BF12">
        <f t="shared" si="0"/>
        <v>3</v>
      </c>
      <c r="BG12" t="s">
        <v>814</v>
      </c>
      <c r="BH12" t="s">
        <v>1051</v>
      </c>
      <c r="BI12">
        <v>10</v>
      </c>
      <c r="BJ12" t="s">
        <v>927</v>
      </c>
    </row>
    <row r="13" spans="1:62" x14ac:dyDescent="0.2">
      <c r="A13">
        <v>12</v>
      </c>
      <c r="B13" t="s">
        <v>653</v>
      </c>
      <c r="C13" t="s">
        <v>70</v>
      </c>
      <c r="D13" t="s">
        <v>71</v>
      </c>
      <c r="E13" t="s">
        <v>641</v>
      </c>
      <c r="F13" t="s">
        <v>644</v>
      </c>
      <c r="G13" t="s">
        <v>1158</v>
      </c>
      <c r="H13">
        <v>2004</v>
      </c>
      <c r="I13" t="s">
        <v>753</v>
      </c>
      <c r="J13" t="s">
        <v>1064</v>
      </c>
      <c r="K13" t="s">
        <v>765</v>
      </c>
      <c r="L13" t="s">
        <v>516</v>
      </c>
      <c r="M13">
        <v>322526</v>
      </c>
      <c r="N13" t="s">
        <v>33</v>
      </c>
      <c r="O13" t="s">
        <v>1177</v>
      </c>
      <c r="P13">
        <v>62.9</v>
      </c>
      <c r="Q13" t="s">
        <v>47</v>
      </c>
      <c r="R13" s="17" t="s">
        <v>1504</v>
      </c>
      <c r="S13">
        <v>8.8283992977974887E-3</v>
      </c>
      <c r="T13">
        <v>28076.154999999999</v>
      </c>
      <c r="U13">
        <v>21380</v>
      </c>
      <c r="V13">
        <v>0.755</v>
      </c>
      <c r="W13">
        <v>46</v>
      </c>
      <c r="X13">
        <v>65</v>
      </c>
      <c r="Y13" s="12">
        <v>3.5885630000000002E-2</v>
      </c>
      <c r="Z13" t="s">
        <v>599</v>
      </c>
      <c r="AA13">
        <v>1000000</v>
      </c>
      <c r="AB13">
        <v>2</v>
      </c>
      <c r="AC13">
        <v>2500</v>
      </c>
      <c r="AD13">
        <v>8000</v>
      </c>
      <c r="AE13" s="17">
        <v>2.4804201831790305E-2</v>
      </c>
      <c r="AF13" t="s">
        <v>12</v>
      </c>
      <c r="AI13" s="13">
        <v>230000</v>
      </c>
      <c r="AJ13" t="s">
        <v>3</v>
      </c>
      <c r="AK13" t="s">
        <v>4</v>
      </c>
      <c r="AL13" t="s">
        <v>600</v>
      </c>
      <c r="AM13" t="s">
        <v>47</v>
      </c>
      <c r="AN13" t="s">
        <v>834</v>
      </c>
      <c r="AO13" t="s">
        <v>5</v>
      </c>
      <c r="AP13" t="s">
        <v>1141</v>
      </c>
      <c r="AQ13" t="s">
        <v>6</v>
      </c>
      <c r="AR13" t="s">
        <v>623</v>
      </c>
      <c r="AS13" t="s">
        <v>1023</v>
      </c>
      <c r="AT13" t="s">
        <v>846</v>
      </c>
      <c r="AU13" t="s">
        <v>845</v>
      </c>
      <c r="AV13">
        <v>9</v>
      </c>
      <c r="AW13" t="s">
        <v>7</v>
      </c>
      <c r="AX13">
        <f>VLOOKUP(AW13,Metric_Codes!$C$91:$D$95,2,FALSE)</f>
        <v>3</v>
      </c>
      <c r="AY13" t="s">
        <v>32</v>
      </c>
      <c r="AZ13" t="s">
        <v>22</v>
      </c>
      <c r="BA13">
        <v>18</v>
      </c>
      <c r="BB13" t="s">
        <v>7</v>
      </c>
      <c r="BC13">
        <f>VLOOKUP(BB13,Metric_Codes!$C$91:$D$95,2,FALSE)</f>
        <v>3</v>
      </c>
      <c r="BD13" t="s">
        <v>7</v>
      </c>
      <c r="BE13">
        <f>VLOOKUP(BD13,Metric_Codes!$C$91:$D$95,2,FALSE)</f>
        <v>3</v>
      </c>
      <c r="BF13">
        <f t="shared" si="0"/>
        <v>3</v>
      </c>
      <c r="BG13" t="s">
        <v>32</v>
      </c>
      <c r="BH13" t="s">
        <v>1051</v>
      </c>
      <c r="BI13">
        <v>12</v>
      </c>
      <c r="BJ13" t="s">
        <v>928</v>
      </c>
    </row>
    <row r="14" spans="1:62" x14ac:dyDescent="0.2">
      <c r="A14">
        <v>13</v>
      </c>
      <c r="B14" t="s">
        <v>654</v>
      </c>
      <c r="C14" t="s">
        <v>238</v>
      </c>
      <c r="D14" t="s">
        <v>239</v>
      </c>
      <c r="E14" t="s">
        <v>641</v>
      </c>
      <c r="F14" t="s">
        <v>644</v>
      </c>
      <c r="G14" t="s">
        <v>1158</v>
      </c>
      <c r="H14">
        <v>2004</v>
      </c>
      <c r="I14" t="s">
        <v>751</v>
      </c>
      <c r="J14" t="s">
        <v>1063</v>
      </c>
      <c r="K14" t="s">
        <v>764</v>
      </c>
      <c r="L14" t="s">
        <v>516</v>
      </c>
      <c r="M14">
        <v>2728777</v>
      </c>
      <c r="N14" t="s">
        <v>33</v>
      </c>
      <c r="O14" t="s">
        <v>1172</v>
      </c>
      <c r="P14">
        <v>68.599999999999994</v>
      </c>
      <c r="Q14" t="s">
        <v>37</v>
      </c>
      <c r="R14" s="17" t="s">
        <v>1504</v>
      </c>
      <c r="S14">
        <v>1.3237250997782699E-2</v>
      </c>
      <c r="T14">
        <v>3719.9740000000002</v>
      </c>
      <c r="U14">
        <v>6820</v>
      </c>
      <c r="V14">
        <v>0.60799999999999998</v>
      </c>
      <c r="W14">
        <v>45.5</v>
      </c>
      <c r="X14">
        <v>44</v>
      </c>
      <c r="Y14" s="12">
        <v>3.02802E-2</v>
      </c>
      <c r="Z14" t="s">
        <v>1</v>
      </c>
      <c r="AA14">
        <v>595000</v>
      </c>
      <c r="AB14">
        <v>15</v>
      </c>
      <c r="AC14">
        <v>18000</v>
      </c>
      <c r="AD14">
        <v>350000</v>
      </c>
      <c r="AE14" s="17">
        <v>0.12826258796523132</v>
      </c>
      <c r="AF14" t="s">
        <v>12</v>
      </c>
      <c r="AG14"/>
      <c r="AH14">
        <v>40000</v>
      </c>
      <c r="AI14" s="13">
        <v>200000</v>
      </c>
      <c r="AJ14" t="s">
        <v>3</v>
      </c>
      <c r="AK14" t="s">
        <v>4</v>
      </c>
      <c r="AL14" t="s">
        <v>600</v>
      </c>
      <c r="AM14" t="s">
        <v>47</v>
      </c>
      <c r="AN14" t="s">
        <v>834</v>
      </c>
      <c r="AO14" t="s">
        <v>615</v>
      </c>
      <c r="AP14" t="s">
        <v>1142</v>
      </c>
      <c r="AQ14" t="s">
        <v>6</v>
      </c>
      <c r="AR14" t="s">
        <v>622</v>
      </c>
      <c r="AS14" t="s">
        <v>1023</v>
      </c>
      <c r="AT14" t="s">
        <v>629</v>
      </c>
      <c r="AU14" t="s">
        <v>845</v>
      </c>
      <c r="AV14">
        <v>9</v>
      </c>
      <c r="AW14" t="s">
        <v>7</v>
      </c>
      <c r="AX14">
        <f>VLOOKUP(AW14,Metric_Codes!$C$91:$D$95,2,FALSE)</f>
        <v>3</v>
      </c>
      <c r="AY14" t="s">
        <v>814</v>
      </c>
      <c r="AZ14" t="s">
        <v>22</v>
      </c>
      <c r="BA14">
        <v>18</v>
      </c>
      <c r="BB14" t="s">
        <v>7</v>
      </c>
      <c r="BC14">
        <f>VLOOKUP(BB14,Metric_Codes!$C$91:$D$95,2,FALSE)</f>
        <v>3</v>
      </c>
      <c r="BD14" t="s">
        <v>7</v>
      </c>
      <c r="BE14">
        <f>VLOOKUP(BD14,Metric_Codes!$C$91:$D$95,2,FALSE)</f>
        <v>3</v>
      </c>
      <c r="BF14">
        <f t="shared" si="0"/>
        <v>3</v>
      </c>
      <c r="BG14" t="s">
        <v>814</v>
      </c>
      <c r="BH14" t="s">
        <v>1051</v>
      </c>
      <c r="BI14">
        <v>44</v>
      </c>
      <c r="BJ14" t="s">
        <v>1005</v>
      </c>
    </row>
    <row r="15" spans="1:62" x14ac:dyDescent="0.2">
      <c r="A15">
        <v>14</v>
      </c>
      <c r="B15" t="s">
        <v>655</v>
      </c>
      <c r="C15" t="s">
        <v>461</v>
      </c>
      <c r="D15" t="s">
        <v>462</v>
      </c>
      <c r="E15" t="s">
        <v>657</v>
      </c>
      <c r="F15" t="s">
        <v>656</v>
      </c>
      <c r="G15" t="s">
        <v>1157</v>
      </c>
      <c r="H15">
        <v>1994</v>
      </c>
      <c r="I15" t="s">
        <v>766</v>
      </c>
      <c r="J15" t="s">
        <v>1065</v>
      </c>
      <c r="K15" t="s">
        <v>767</v>
      </c>
      <c r="L15" t="s">
        <v>1041</v>
      </c>
      <c r="M15">
        <v>263126000</v>
      </c>
      <c r="N15" t="s">
        <v>64</v>
      </c>
      <c r="O15" t="s">
        <v>1172</v>
      </c>
      <c r="P15">
        <v>76.8</v>
      </c>
      <c r="Q15" t="s">
        <v>47</v>
      </c>
      <c r="R15" s="17" t="s">
        <v>1503</v>
      </c>
      <c r="S15">
        <v>0.04</v>
      </c>
      <c r="T15">
        <v>27776.6</v>
      </c>
      <c r="U15">
        <v>52308</v>
      </c>
      <c r="V15">
        <v>0.755</v>
      </c>
      <c r="W15">
        <v>41</v>
      </c>
      <c r="X15">
        <v>71</v>
      </c>
      <c r="Y15" s="12">
        <v>4.8139370000000001E-2</v>
      </c>
      <c r="Z15" t="s">
        <v>1</v>
      </c>
      <c r="AA15">
        <v>30000000</v>
      </c>
      <c r="AB15">
        <v>72</v>
      </c>
      <c r="AC15">
        <v>114000</v>
      </c>
      <c r="AD15">
        <v>3800000</v>
      </c>
      <c r="AE15" s="17">
        <v>1.4441750340141226E-2</v>
      </c>
      <c r="AF15" t="s">
        <v>2</v>
      </c>
      <c r="AG15" s="13">
        <v>8600000</v>
      </c>
      <c r="AI15" s="13">
        <v>13900000</v>
      </c>
      <c r="AJ15" t="s">
        <v>16</v>
      </c>
      <c r="AK15" t="s">
        <v>8</v>
      </c>
      <c r="AL15" t="s">
        <v>631</v>
      </c>
      <c r="AM15" t="s">
        <v>47</v>
      </c>
      <c r="AN15" t="s">
        <v>835</v>
      </c>
      <c r="AO15" t="s">
        <v>5</v>
      </c>
      <c r="AP15" t="s">
        <v>1142</v>
      </c>
      <c r="AQ15" t="s">
        <v>9</v>
      </c>
      <c r="AR15" t="s">
        <v>624</v>
      </c>
      <c r="AS15" t="s">
        <v>1025</v>
      </c>
      <c r="AT15" t="s">
        <v>627</v>
      </c>
      <c r="AU15" t="s">
        <v>22</v>
      </c>
      <c r="AV15">
        <v>18</v>
      </c>
      <c r="AW15" t="s">
        <v>7</v>
      </c>
      <c r="AX15">
        <f>VLOOKUP(AW15,Metric_Codes!$C$91:$D$95,2,FALSE)</f>
        <v>3</v>
      </c>
      <c r="AY15" t="s">
        <v>47</v>
      </c>
      <c r="AZ15" t="s">
        <v>22</v>
      </c>
      <c r="BA15">
        <v>18</v>
      </c>
      <c r="BB15" t="s">
        <v>7</v>
      </c>
      <c r="BC15">
        <f>VLOOKUP(BB15,Metric_Codes!$C$91:$D$95,2,FALSE)</f>
        <v>3</v>
      </c>
      <c r="BD15" t="s">
        <v>7</v>
      </c>
      <c r="BE15">
        <f>VLOOKUP(BD15,Metric_Codes!$C$91:$D$95,2,FALSE)</f>
        <v>3</v>
      </c>
      <c r="BF15">
        <f t="shared" si="0"/>
        <v>3</v>
      </c>
      <c r="BG15" t="s">
        <v>47</v>
      </c>
      <c r="BH15" t="s">
        <v>1050</v>
      </c>
      <c r="BI15">
        <v>37</v>
      </c>
      <c r="BJ15" t="s">
        <v>1006</v>
      </c>
    </row>
    <row r="16" spans="1:62" x14ac:dyDescent="0.2">
      <c r="A16">
        <v>15</v>
      </c>
      <c r="B16" t="s">
        <v>658</v>
      </c>
      <c r="C16" t="s">
        <v>226</v>
      </c>
      <c r="D16" t="s">
        <v>227</v>
      </c>
      <c r="E16" t="s">
        <v>657</v>
      </c>
      <c r="F16" t="s">
        <v>657</v>
      </c>
      <c r="G16" t="s">
        <v>1157</v>
      </c>
      <c r="H16">
        <v>2003</v>
      </c>
      <c r="I16" t="s">
        <v>768</v>
      </c>
      <c r="J16" t="s">
        <v>1065</v>
      </c>
      <c r="K16" t="s">
        <v>769</v>
      </c>
      <c r="L16" t="s">
        <v>1041</v>
      </c>
      <c r="M16">
        <v>68812713</v>
      </c>
      <c r="N16" t="s">
        <v>41</v>
      </c>
      <c r="O16" t="s">
        <v>1185</v>
      </c>
      <c r="P16">
        <v>51.1</v>
      </c>
      <c r="Q16" t="s">
        <v>37</v>
      </c>
      <c r="R16" s="17" t="s">
        <v>1503</v>
      </c>
      <c r="S16">
        <v>7.0000000000000007E-2</v>
      </c>
      <c r="T16">
        <v>2231.3000000000002</v>
      </c>
      <c r="U16">
        <v>13451</v>
      </c>
      <c r="V16">
        <v>0.498</v>
      </c>
      <c r="W16">
        <v>38</v>
      </c>
      <c r="X16">
        <v>28</v>
      </c>
      <c r="Y16" s="12">
        <v>9.3473970000000003E-3</v>
      </c>
      <c r="Z16" t="s">
        <v>14</v>
      </c>
      <c r="AA16">
        <v>500000</v>
      </c>
      <c r="AB16">
        <v>30000</v>
      </c>
      <c r="AC16">
        <v>75600</v>
      </c>
      <c r="AD16">
        <v>100000</v>
      </c>
      <c r="AE16" s="17">
        <v>1.4532198432577422E-3</v>
      </c>
      <c r="AF16" t="s">
        <v>18</v>
      </c>
      <c r="AG16">
        <v>410000</v>
      </c>
      <c r="AJ16" t="s">
        <v>23</v>
      </c>
      <c r="AK16" t="s">
        <v>24</v>
      </c>
      <c r="AL16" t="s">
        <v>1052</v>
      </c>
      <c r="AM16" t="s">
        <v>47</v>
      </c>
      <c r="AN16" t="s">
        <v>831</v>
      </c>
      <c r="AO16" t="s">
        <v>5</v>
      </c>
      <c r="AP16" t="s">
        <v>1141</v>
      </c>
      <c r="AQ16" t="s">
        <v>6</v>
      </c>
      <c r="AR16" t="s">
        <v>623</v>
      </c>
      <c r="AS16" t="s">
        <v>1022</v>
      </c>
      <c r="AT16" t="s">
        <v>629</v>
      </c>
      <c r="AU16" t="s">
        <v>815</v>
      </c>
      <c r="AV16">
        <v>180</v>
      </c>
      <c r="AW16" t="s">
        <v>634</v>
      </c>
      <c r="AX16">
        <f>VLOOKUP(AW16,Metric_Codes!$C$91:$D$95,2,FALSE)</f>
        <v>1</v>
      </c>
      <c r="AY16" t="s">
        <v>814</v>
      </c>
      <c r="AZ16" t="s">
        <v>816</v>
      </c>
      <c r="BA16">
        <v>120</v>
      </c>
      <c r="BB16" t="s">
        <v>635</v>
      </c>
      <c r="BC16">
        <f>VLOOKUP(BB16,Metric_Codes!$C$91:$D$95,2,FALSE)</f>
        <v>2</v>
      </c>
      <c r="BD16" t="s">
        <v>11</v>
      </c>
      <c r="BE16">
        <f>VLOOKUP(BD16,Metric_Codes!$C$91:$D$95,2,FALSE)</f>
        <v>4</v>
      </c>
      <c r="BF16">
        <f t="shared" si="0"/>
        <v>3</v>
      </c>
      <c r="BG16" t="s">
        <v>47</v>
      </c>
      <c r="BH16" t="s">
        <v>1037</v>
      </c>
      <c r="BI16">
        <v>86</v>
      </c>
      <c r="BJ16" t="s">
        <v>1007</v>
      </c>
    </row>
    <row r="17" spans="1:62" x14ac:dyDescent="0.2">
      <c r="A17">
        <v>16</v>
      </c>
      <c r="B17" t="s">
        <v>659</v>
      </c>
      <c r="C17" t="s">
        <v>433</v>
      </c>
      <c r="D17" t="s">
        <v>434</v>
      </c>
      <c r="E17" t="s">
        <v>656</v>
      </c>
      <c r="F17" t="s">
        <v>657</v>
      </c>
      <c r="G17" t="s">
        <v>1157</v>
      </c>
      <c r="H17">
        <v>2004</v>
      </c>
      <c r="I17" t="s">
        <v>770</v>
      </c>
      <c r="J17" t="s">
        <v>1063</v>
      </c>
      <c r="K17" t="s">
        <v>771</v>
      </c>
      <c r="L17" t="s">
        <v>1041</v>
      </c>
      <c r="M17">
        <v>65002231</v>
      </c>
      <c r="N17" t="s">
        <v>57</v>
      </c>
      <c r="O17" t="s">
        <v>1154</v>
      </c>
      <c r="P17">
        <v>68.3</v>
      </c>
      <c r="Q17" t="s">
        <v>37</v>
      </c>
      <c r="R17" s="17" t="s">
        <v>1503</v>
      </c>
      <c r="S17">
        <v>0.06</v>
      </c>
      <c r="T17">
        <v>2659.8</v>
      </c>
      <c r="U17">
        <v>13364</v>
      </c>
      <c r="V17">
        <v>0.57299999999999995</v>
      </c>
      <c r="W17">
        <v>39</v>
      </c>
      <c r="X17">
        <v>36</v>
      </c>
      <c r="Y17" s="12">
        <v>1.2532710000000001E-2</v>
      </c>
      <c r="Z17" t="s">
        <v>14</v>
      </c>
      <c r="AA17">
        <v>30000000</v>
      </c>
      <c r="AB17">
        <v>9311</v>
      </c>
      <c r="AC17">
        <v>1800000</v>
      </c>
      <c r="AD17">
        <v>2133784</v>
      </c>
      <c r="AE17" s="17">
        <v>3.2826319453558447E-2</v>
      </c>
      <c r="AF17" t="s">
        <v>20</v>
      </c>
      <c r="AG17">
        <v>1700000</v>
      </c>
      <c r="AI17" s="13">
        <v>2700000</v>
      </c>
      <c r="AJ17" t="s">
        <v>16</v>
      </c>
      <c r="AK17" t="s">
        <v>25</v>
      </c>
      <c r="AL17" t="s">
        <v>1052</v>
      </c>
      <c r="AM17" t="s">
        <v>814</v>
      </c>
      <c r="AN17" t="s">
        <v>832</v>
      </c>
      <c r="AO17" t="s">
        <v>5</v>
      </c>
      <c r="AP17" t="s">
        <v>1141</v>
      </c>
      <c r="AQ17" t="s">
        <v>6</v>
      </c>
      <c r="AR17" t="s">
        <v>623</v>
      </c>
      <c r="AS17" t="s">
        <v>1023</v>
      </c>
      <c r="AT17" t="s">
        <v>627</v>
      </c>
      <c r="AU17" t="s">
        <v>10</v>
      </c>
      <c r="AV17">
        <v>36</v>
      </c>
      <c r="AW17" t="s">
        <v>11</v>
      </c>
      <c r="AX17">
        <f>VLOOKUP(AW17,Metric_Codes!$C$91:$D$95,2,FALSE)</f>
        <v>4</v>
      </c>
      <c r="AY17" t="s">
        <v>47</v>
      </c>
      <c r="AZ17" t="s">
        <v>10</v>
      </c>
      <c r="BA17">
        <v>36</v>
      </c>
      <c r="BB17" t="s">
        <v>635</v>
      </c>
      <c r="BC17">
        <f>VLOOKUP(BB17,Metric_Codes!$C$91:$D$95,2,FALSE)</f>
        <v>2</v>
      </c>
      <c r="BD17" t="s">
        <v>7</v>
      </c>
      <c r="BE17">
        <f>VLOOKUP(BD17,Metric_Codes!$C$91:$D$95,2,FALSE)</f>
        <v>3</v>
      </c>
      <c r="BF17">
        <f t="shared" si="0"/>
        <v>2.5</v>
      </c>
      <c r="BG17" t="s">
        <v>47</v>
      </c>
      <c r="BH17" t="s">
        <v>1037</v>
      </c>
      <c r="BI17">
        <v>7</v>
      </c>
      <c r="BJ17" t="s">
        <v>1008</v>
      </c>
    </row>
    <row r="18" spans="1:62" x14ac:dyDescent="0.2">
      <c r="A18">
        <v>17</v>
      </c>
      <c r="B18" t="s">
        <v>660</v>
      </c>
      <c r="C18" t="s">
        <v>343</v>
      </c>
      <c r="D18" t="s">
        <v>344</v>
      </c>
      <c r="E18" t="s">
        <v>657</v>
      </c>
      <c r="F18" t="s">
        <v>657</v>
      </c>
      <c r="G18" t="s">
        <v>1157</v>
      </c>
      <c r="H18">
        <v>2005</v>
      </c>
      <c r="I18" t="s">
        <v>772</v>
      </c>
      <c r="J18" t="s">
        <v>1064</v>
      </c>
      <c r="K18" t="s">
        <v>773</v>
      </c>
      <c r="L18" t="s">
        <v>1041</v>
      </c>
      <c r="M18">
        <v>153909667</v>
      </c>
      <c r="N18" t="s">
        <v>57</v>
      </c>
      <c r="O18" t="s">
        <v>1154</v>
      </c>
      <c r="P18">
        <v>61</v>
      </c>
      <c r="Q18" t="s">
        <v>51</v>
      </c>
      <c r="R18" s="17" t="s">
        <v>1503</v>
      </c>
      <c r="S18">
        <v>0.09</v>
      </c>
      <c r="T18">
        <v>711.5</v>
      </c>
      <c r="U18">
        <v>4652</v>
      </c>
      <c r="V18">
        <v>0.375</v>
      </c>
      <c r="W18">
        <v>30</v>
      </c>
      <c r="X18">
        <v>33</v>
      </c>
      <c r="Y18" s="12">
        <v>3.9242840000000001E-3</v>
      </c>
      <c r="Z18" t="s">
        <v>1</v>
      </c>
      <c r="AA18">
        <v>5200000</v>
      </c>
      <c r="AB18">
        <v>87000</v>
      </c>
      <c r="AC18">
        <v>3200000</v>
      </c>
      <c r="AD18">
        <v>10143700</v>
      </c>
      <c r="AE18" s="17">
        <v>6.5906841316211801E-2</v>
      </c>
      <c r="AF18" t="s">
        <v>12</v>
      </c>
      <c r="AG18">
        <v>483000</v>
      </c>
      <c r="AI18" s="13">
        <v>5000</v>
      </c>
      <c r="AJ18" t="s">
        <v>3</v>
      </c>
      <c r="AK18" t="s">
        <v>4</v>
      </c>
      <c r="AL18" t="s">
        <v>1052</v>
      </c>
      <c r="AM18" t="s">
        <v>47</v>
      </c>
      <c r="AN18" t="s">
        <v>832</v>
      </c>
      <c r="AO18" t="s">
        <v>17</v>
      </c>
      <c r="AP18" t="s">
        <v>1141</v>
      </c>
      <c r="AQ18" t="s">
        <v>6</v>
      </c>
      <c r="AR18" t="s">
        <v>622</v>
      </c>
      <c r="AS18" t="s">
        <v>1023</v>
      </c>
      <c r="AT18" t="s">
        <v>629</v>
      </c>
      <c r="AU18" t="s">
        <v>10</v>
      </c>
      <c r="AV18">
        <v>48</v>
      </c>
      <c r="AW18" t="s">
        <v>635</v>
      </c>
      <c r="AX18">
        <f>VLOOKUP(AW18,Metric_Codes!$C$91:$D$95,2,FALSE)</f>
        <v>2</v>
      </c>
      <c r="AY18" t="s">
        <v>814</v>
      </c>
      <c r="AZ18" t="s">
        <v>816</v>
      </c>
      <c r="BA18">
        <v>96</v>
      </c>
      <c r="BB18" t="s">
        <v>635</v>
      </c>
      <c r="BC18">
        <f>VLOOKUP(BB18,Metric_Codes!$C$91:$D$95,2,FALSE)</f>
        <v>2</v>
      </c>
      <c r="BD18" t="s">
        <v>7</v>
      </c>
      <c r="BE18">
        <f>VLOOKUP(BD18,Metric_Codes!$C$91:$D$95,2,FALSE)</f>
        <v>3</v>
      </c>
      <c r="BF18">
        <f t="shared" si="0"/>
        <v>2.5</v>
      </c>
      <c r="BG18" t="s">
        <v>47</v>
      </c>
      <c r="BH18" t="s">
        <v>1037</v>
      </c>
      <c r="BI18">
        <v>375</v>
      </c>
      <c r="BJ18" t="s">
        <v>1009</v>
      </c>
    </row>
    <row r="19" spans="1:62" x14ac:dyDescent="0.2">
      <c r="A19">
        <v>18</v>
      </c>
      <c r="B19" t="s">
        <v>661</v>
      </c>
      <c r="C19" t="s">
        <v>127</v>
      </c>
      <c r="D19" t="s">
        <v>128</v>
      </c>
      <c r="E19" t="s">
        <v>657</v>
      </c>
      <c r="F19" t="s">
        <v>656</v>
      </c>
      <c r="G19" t="s">
        <v>1157</v>
      </c>
      <c r="H19">
        <v>2008</v>
      </c>
      <c r="I19" t="s">
        <v>774</v>
      </c>
      <c r="J19" t="s">
        <v>1064</v>
      </c>
      <c r="K19" t="s">
        <v>775</v>
      </c>
      <c r="L19" t="s">
        <v>1041</v>
      </c>
      <c r="M19">
        <v>1324655000</v>
      </c>
      <c r="N19" t="s">
        <v>57</v>
      </c>
      <c r="O19" t="s">
        <v>1185</v>
      </c>
      <c r="P19">
        <v>67.3</v>
      </c>
      <c r="Q19" t="s">
        <v>37</v>
      </c>
      <c r="R19" s="17" t="s">
        <v>1503</v>
      </c>
      <c r="S19">
        <v>0.1</v>
      </c>
      <c r="T19">
        <v>3471.2</v>
      </c>
      <c r="U19">
        <v>11477</v>
      </c>
      <c r="V19">
        <v>0.64300000000000002</v>
      </c>
      <c r="W19">
        <v>37</v>
      </c>
      <c r="X19">
        <v>39</v>
      </c>
      <c r="Y19" s="12">
        <v>9.8553440000000003E-3</v>
      </c>
      <c r="Z19" t="s">
        <v>1</v>
      </c>
      <c r="AA19">
        <v>130000000</v>
      </c>
      <c r="AB19">
        <v>87587</v>
      </c>
      <c r="AC19">
        <v>5000000</v>
      </c>
      <c r="AD19">
        <v>15000000</v>
      </c>
      <c r="AE19" s="17">
        <v>1.1323703152896415E-2</v>
      </c>
      <c r="AF19" t="s">
        <v>2</v>
      </c>
      <c r="AG19">
        <v>10000000</v>
      </c>
      <c r="AI19" s="13">
        <v>366000</v>
      </c>
      <c r="AJ19" t="s">
        <v>13</v>
      </c>
      <c r="AK19" t="s">
        <v>8</v>
      </c>
      <c r="AL19" t="s">
        <v>1052</v>
      </c>
      <c r="AM19" t="s">
        <v>47</v>
      </c>
      <c r="AN19" t="s">
        <v>831</v>
      </c>
      <c r="AO19" t="s">
        <v>5</v>
      </c>
      <c r="AP19" t="s">
        <v>1141</v>
      </c>
      <c r="AQ19" t="s">
        <v>6</v>
      </c>
      <c r="AR19" t="s">
        <v>623</v>
      </c>
      <c r="AS19" t="s">
        <v>1023</v>
      </c>
      <c r="AT19" t="s">
        <v>629</v>
      </c>
      <c r="AU19" t="s">
        <v>22</v>
      </c>
      <c r="AV19">
        <v>18</v>
      </c>
      <c r="AW19" t="s">
        <v>11</v>
      </c>
      <c r="AX19">
        <f>VLOOKUP(AW19,Metric_Codes!$C$91:$D$95,2,FALSE)</f>
        <v>4</v>
      </c>
      <c r="AY19" t="s">
        <v>814</v>
      </c>
      <c r="AZ19" t="s">
        <v>22</v>
      </c>
      <c r="BA19">
        <v>12</v>
      </c>
      <c r="BB19" t="s">
        <v>635</v>
      </c>
      <c r="BC19">
        <f>VLOOKUP(BB19,Metric_Codes!$C$91:$D$95,2,FALSE)</f>
        <v>2</v>
      </c>
      <c r="BD19" t="s">
        <v>11</v>
      </c>
      <c r="BE19">
        <f>VLOOKUP(BD19,Metric_Codes!$C$91:$D$95,2,FALSE)</f>
        <v>4</v>
      </c>
      <c r="BF19">
        <f t="shared" si="0"/>
        <v>3</v>
      </c>
      <c r="BG19" t="s">
        <v>47</v>
      </c>
      <c r="BH19" t="s">
        <v>1037</v>
      </c>
      <c r="BI19">
        <v>36</v>
      </c>
      <c r="BJ19" t="s">
        <v>1010</v>
      </c>
    </row>
    <row r="20" spans="1:62" x14ac:dyDescent="0.2">
      <c r="A20">
        <v>19</v>
      </c>
      <c r="B20" t="s">
        <v>662</v>
      </c>
      <c r="C20" t="s">
        <v>236</v>
      </c>
      <c r="D20" t="s">
        <v>237</v>
      </c>
      <c r="E20" t="s">
        <v>657</v>
      </c>
      <c r="F20" t="s">
        <v>657</v>
      </c>
      <c r="G20" t="s">
        <v>1157</v>
      </c>
      <c r="H20">
        <v>2009</v>
      </c>
      <c r="I20" t="s">
        <v>776</v>
      </c>
      <c r="J20" t="s">
        <v>1065</v>
      </c>
      <c r="K20" t="s">
        <v>777</v>
      </c>
      <c r="L20" t="s">
        <v>1041</v>
      </c>
      <c r="M20">
        <v>59095365</v>
      </c>
      <c r="N20" t="s">
        <v>64</v>
      </c>
      <c r="O20" t="s">
        <v>1177</v>
      </c>
      <c r="P20">
        <v>62.2</v>
      </c>
      <c r="Q20" t="s">
        <v>47</v>
      </c>
      <c r="R20" s="17" t="s">
        <v>1505</v>
      </c>
      <c r="S20">
        <v>-0.06</v>
      </c>
      <c r="T20">
        <v>36976.800000000003</v>
      </c>
      <c r="U20">
        <v>32669</v>
      </c>
      <c r="V20">
        <v>0.76800000000000002</v>
      </c>
      <c r="W20">
        <v>35</v>
      </c>
      <c r="X20">
        <v>52</v>
      </c>
      <c r="Y20" s="12">
        <v>2.3969509999999999E-2</v>
      </c>
      <c r="Z20" t="s">
        <v>1</v>
      </c>
      <c r="AA20">
        <v>11600000</v>
      </c>
      <c r="AB20">
        <v>308</v>
      </c>
      <c r="AC20">
        <v>65000</v>
      </c>
      <c r="AD20">
        <v>72000</v>
      </c>
      <c r="AE20" s="17">
        <v>1.2183696640167972E-3</v>
      </c>
      <c r="AF20" t="s">
        <v>20</v>
      </c>
      <c r="AG20" s="13">
        <v>484000</v>
      </c>
      <c r="AI20" s="13">
        <v>200000</v>
      </c>
      <c r="AJ20" t="s">
        <v>3</v>
      </c>
      <c r="AK20" t="s">
        <v>4</v>
      </c>
      <c r="AL20" t="s">
        <v>600</v>
      </c>
      <c r="AM20" t="s">
        <v>47</v>
      </c>
      <c r="AN20" t="s">
        <v>834</v>
      </c>
      <c r="AO20" t="s">
        <v>5</v>
      </c>
      <c r="AP20" t="s">
        <v>1142</v>
      </c>
      <c r="AQ20" t="s">
        <v>6</v>
      </c>
      <c r="AR20" t="s">
        <v>622</v>
      </c>
      <c r="AS20" t="s">
        <v>1022</v>
      </c>
      <c r="AT20" t="s">
        <v>629</v>
      </c>
      <c r="AU20" t="s">
        <v>816</v>
      </c>
      <c r="AV20">
        <v>96</v>
      </c>
      <c r="AW20" t="s">
        <v>634</v>
      </c>
      <c r="AX20">
        <f>VLOOKUP(AW20,Metric_Codes!$C$91:$D$95,2,FALSE)</f>
        <v>1</v>
      </c>
      <c r="AY20" t="s">
        <v>47</v>
      </c>
      <c r="AZ20" t="s">
        <v>816</v>
      </c>
      <c r="BA20">
        <v>120</v>
      </c>
      <c r="BB20" t="s">
        <v>634</v>
      </c>
      <c r="BC20">
        <f>VLOOKUP(BB20,Metric_Codes!$C$91:$D$95,2,FALSE)</f>
        <v>1</v>
      </c>
      <c r="BD20" t="s">
        <v>11</v>
      </c>
      <c r="BE20">
        <f>VLOOKUP(BD20,Metric_Codes!$C$91:$D$95,2,FALSE)</f>
        <v>4</v>
      </c>
      <c r="BF20">
        <f t="shared" si="0"/>
        <v>2.5</v>
      </c>
      <c r="BG20" t="s">
        <v>47</v>
      </c>
      <c r="BH20" t="s">
        <v>1051</v>
      </c>
      <c r="BI20">
        <v>40</v>
      </c>
      <c r="BJ20" t="s">
        <v>1011</v>
      </c>
    </row>
    <row r="21" spans="1:62" x14ac:dyDescent="0.2">
      <c r="A21">
        <v>20</v>
      </c>
      <c r="B21" t="s">
        <v>994</v>
      </c>
      <c r="C21" t="s">
        <v>125</v>
      </c>
      <c r="D21" t="s">
        <v>126</v>
      </c>
      <c r="E21" t="s">
        <v>656</v>
      </c>
      <c r="F21" t="s">
        <v>657</v>
      </c>
      <c r="G21" t="s">
        <v>1157</v>
      </c>
      <c r="H21">
        <v>2010</v>
      </c>
      <c r="I21" t="s">
        <v>778</v>
      </c>
      <c r="J21" t="s">
        <v>1063</v>
      </c>
      <c r="K21" t="s">
        <v>779</v>
      </c>
      <c r="L21" t="s">
        <v>1041</v>
      </c>
      <c r="M21">
        <v>16993354</v>
      </c>
      <c r="N21" t="s">
        <v>67</v>
      </c>
      <c r="O21" t="s">
        <v>1172</v>
      </c>
      <c r="P21">
        <v>58.4</v>
      </c>
      <c r="Q21" t="s">
        <v>47</v>
      </c>
      <c r="R21" s="17" t="s">
        <v>1503</v>
      </c>
      <c r="S21">
        <v>0.06</v>
      </c>
      <c r="T21">
        <v>12860.2</v>
      </c>
      <c r="U21">
        <v>20804</v>
      </c>
      <c r="V21">
        <v>0.66100000000000003</v>
      </c>
      <c r="W21">
        <v>51</v>
      </c>
      <c r="X21">
        <v>67</v>
      </c>
      <c r="Y21" s="12">
        <v>1.481713E-2</v>
      </c>
      <c r="Z21" t="s">
        <v>601</v>
      </c>
      <c r="AA21">
        <v>30000000</v>
      </c>
      <c r="AB21">
        <v>547</v>
      </c>
      <c r="AC21">
        <v>800000</v>
      </c>
      <c r="AD21">
        <v>5540000</v>
      </c>
      <c r="AE21" s="17">
        <v>0.32600980359733578</v>
      </c>
      <c r="AF21" t="s">
        <v>20</v>
      </c>
      <c r="AG21" s="13">
        <v>110000</v>
      </c>
      <c r="AI21" s="13">
        <v>5500000</v>
      </c>
      <c r="AJ21" t="s">
        <v>3</v>
      </c>
      <c r="AK21" t="s">
        <v>8</v>
      </c>
      <c r="AL21" t="s">
        <v>600</v>
      </c>
      <c r="AM21" t="s">
        <v>814</v>
      </c>
      <c r="AN21" t="s">
        <v>834</v>
      </c>
      <c r="AO21" t="s">
        <v>17</v>
      </c>
      <c r="AP21" t="s">
        <v>1143</v>
      </c>
      <c r="AQ21" t="s">
        <v>620</v>
      </c>
      <c r="AR21" t="s">
        <v>624</v>
      </c>
      <c r="AS21" t="s">
        <v>1024</v>
      </c>
      <c r="AT21" t="s">
        <v>629</v>
      </c>
      <c r="AU21" t="s">
        <v>10</v>
      </c>
      <c r="AV21">
        <v>36</v>
      </c>
      <c r="AW21" t="s">
        <v>11</v>
      </c>
      <c r="AX21">
        <f>VLOOKUP(AW21,Metric_Codes!$C$91:$D$95,2,FALSE)</f>
        <v>4</v>
      </c>
      <c r="AY21" t="s">
        <v>47</v>
      </c>
      <c r="AZ21" t="s">
        <v>10</v>
      </c>
      <c r="BA21">
        <v>36</v>
      </c>
      <c r="BB21" t="s">
        <v>11</v>
      </c>
      <c r="BC21">
        <f>VLOOKUP(BB21,Metric_Codes!$C$91:$D$95,2,FALSE)</f>
        <v>4</v>
      </c>
      <c r="BD21" t="s">
        <v>11</v>
      </c>
      <c r="BE21">
        <f>VLOOKUP(BD21,Metric_Codes!$C$91:$D$95,2,FALSE)</f>
        <v>4</v>
      </c>
      <c r="BF21">
        <f t="shared" si="0"/>
        <v>4</v>
      </c>
      <c r="BG21" t="s">
        <v>47</v>
      </c>
      <c r="BH21" t="s">
        <v>600</v>
      </c>
      <c r="BI21">
        <v>59</v>
      </c>
      <c r="BJ21" t="s">
        <v>1012</v>
      </c>
    </row>
    <row r="22" spans="1:62" x14ac:dyDescent="0.2">
      <c r="A22">
        <v>21</v>
      </c>
      <c r="B22" t="s">
        <v>663</v>
      </c>
      <c r="C22" t="s">
        <v>329</v>
      </c>
      <c r="D22" t="s">
        <v>330</v>
      </c>
      <c r="E22" t="s">
        <v>657</v>
      </c>
      <c r="F22" t="s">
        <v>657</v>
      </c>
      <c r="G22" t="s">
        <v>1157</v>
      </c>
      <c r="H22">
        <v>2011</v>
      </c>
      <c r="I22" t="s">
        <v>780</v>
      </c>
      <c r="J22" t="s">
        <v>1065</v>
      </c>
      <c r="K22" t="s">
        <v>781</v>
      </c>
      <c r="L22" t="s">
        <v>1041</v>
      </c>
      <c r="M22">
        <v>4384000</v>
      </c>
      <c r="N22" t="s">
        <v>64</v>
      </c>
      <c r="O22" t="s">
        <v>1172</v>
      </c>
      <c r="P22">
        <v>84.4</v>
      </c>
      <c r="Q22" t="s">
        <v>47</v>
      </c>
      <c r="R22" s="17" t="s">
        <v>1504</v>
      </c>
      <c r="S22">
        <v>0.01</v>
      </c>
      <c r="T22">
        <v>38426.6</v>
      </c>
      <c r="U22">
        <v>32569</v>
      </c>
      <c r="V22">
        <v>0.84599999999999997</v>
      </c>
      <c r="W22">
        <v>33</v>
      </c>
      <c r="X22">
        <v>87</v>
      </c>
      <c r="Y22" s="12">
        <v>4.9317180000000002E-2</v>
      </c>
      <c r="Z22" t="s">
        <v>601</v>
      </c>
      <c r="AA22">
        <v>15000000</v>
      </c>
      <c r="AB22">
        <v>181</v>
      </c>
      <c r="AC22">
        <v>70000</v>
      </c>
      <c r="AD22">
        <v>348435</v>
      </c>
      <c r="AE22" s="17">
        <v>7.9478786496350359E-2</v>
      </c>
      <c r="AF22" t="s">
        <v>2</v>
      </c>
      <c r="AG22" s="13">
        <v>11400000</v>
      </c>
      <c r="AI22" s="13">
        <v>12000000</v>
      </c>
      <c r="AJ22" t="s">
        <v>16</v>
      </c>
      <c r="AK22" t="s">
        <v>8</v>
      </c>
      <c r="AL22" t="s">
        <v>631</v>
      </c>
      <c r="AM22" t="s">
        <v>47</v>
      </c>
      <c r="AN22" t="s">
        <v>835</v>
      </c>
      <c r="AO22" t="s">
        <v>17</v>
      </c>
      <c r="AP22" t="s">
        <v>1143</v>
      </c>
      <c r="AQ22" t="s">
        <v>9</v>
      </c>
      <c r="AR22" t="s">
        <v>624</v>
      </c>
      <c r="AS22" t="s">
        <v>1030</v>
      </c>
      <c r="AT22" t="s">
        <v>627</v>
      </c>
      <c r="AU22" t="s">
        <v>10</v>
      </c>
      <c r="AV22">
        <v>48</v>
      </c>
      <c r="AW22" t="s">
        <v>7</v>
      </c>
      <c r="AX22">
        <f>VLOOKUP(AW22,Metric_Codes!$C$91:$D$95,2,FALSE)</f>
        <v>3</v>
      </c>
      <c r="AY22" t="s">
        <v>47</v>
      </c>
      <c r="AZ22" t="s">
        <v>10</v>
      </c>
      <c r="BA22">
        <v>60</v>
      </c>
      <c r="BB22" t="s">
        <v>7</v>
      </c>
      <c r="BC22">
        <f>VLOOKUP(BB22,Metric_Codes!$C$91:$D$95,2,FALSE)</f>
        <v>3</v>
      </c>
      <c r="BD22" t="s">
        <v>11</v>
      </c>
      <c r="BE22">
        <f>VLOOKUP(BD22,Metric_Codes!$C$91:$D$95,2,FALSE)</f>
        <v>4</v>
      </c>
      <c r="BF22">
        <f t="shared" si="0"/>
        <v>3.5</v>
      </c>
      <c r="BG22" t="s">
        <v>47</v>
      </c>
      <c r="BH22" t="s">
        <v>1054</v>
      </c>
      <c r="BI22">
        <v>77</v>
      </c>
      <c r="BJ22" t="s">
        <v>1013</v>
      </c>
    </row>
    <row r="23" spans="1:62" x14ac:dyDescent="0.2">
      <c r="A23">
        <v>22</v>
      </c>
      <c r="B23" t="s">
        <v>664</v>
      </c>
      <c r="C23" t="s">
        <v>240</v>
      </c>
      <c r="D23" t="s">
        <v>241</v>
      </c>
      <c r="E23" t="s">
        <v>656</v>
      </c>
      <c r="F23" t="s">
        <v>657</v>
      </c>
      <c r="G23" t="s">
        <v>1157</v>
      </c>
      <c r="H23">
        <v>2011</v>
      </c>
      <c r="I23" t="s">
        <v>782</v>
      </c>
      <c r="J23" t="s">
        <v>1063</v>
      </c>
      <c r="K23" t="s">
        <v>783</v>
      </c>
      <c r="L23" t="s">
        <v>1041</v>
      </c>
      <c r="M23">
        <v>127833000</v>
      </c>
      <c r="N23" t="s">
        <v>67</v>
      </c>
      <c r="O23" t="s">
        <v>1172</v>
      </c>
      <c r="P23">
        <v>72.099999999999994</v>
      </c>
      <c r="Q23" t="s">
        <v>47</v>
      </c>
      <c r="R23" s="17" t="s">
        <v>1505</v>
      </c>
      <c r="S23">
        <v>-0.05</v>
      </c>
      <c r="T23">
        <v>48168</v>
      </c>
      <c r="U23">
        <v>36747</v>
      </c>
      <c r="V23">
        <v>0.77900000000000003</v>
      </c>
      <c r="W23">
        <v>32</v>
      </c>
      <c r="X23">
        <v>73</v>
      </c>
      <c r="Y23" s="12">
        <v>2.186681E-2</v>
      </c>
      <c r="Z23" t="s">
        <v>1</v>
      </c>
      <c r="AA23">
        <v>210000000</v>
      </c>
      <c r="AB23">
        <v>20350</v>
      </c>
      <c r="AC23">
        <v>5150000</v>
      </c>
      <c r="AD23">
        <v>9630000</v>
      </c>
      <c r="AE23" s="17">
        <v>7.5332660580601257E-2</v>
      </c>
      <c r="AF23" t="s">
        <v>2</v>
      </c>
      <c r="AG23" s="13">
        <v>266000000</v>
      </c>
      <c r="AI23" s="13">
        <v>35000000</v>
      </c>
      <c r="AJ23" t="s">
        <v>16</v>
      </c>
      <c r="AK23" t="s">
        <v>8</v>
      </c>
      <c r="AL23" t="s">
        <v>631</v>
      </c>
      <c r="AM23" t="s">
        <v>47</v>
      </c>
      <c r="AN23" t="s">
        <v>835</v>
      </c>
      <c r="AO23" t="s">
        <v>615</v>
      </c>
      <c r="AP23" t="s">
        <v>1142</v>
      </c>
      <c r="AQ23" t="s">
        <v>9</v>
      </c>
      <c r="AR23" t="s">
        <v>624</v>
      </c>
      <c r="AS23" t="s">
        <v>1030</v>
      </c>
      <c r="AT23" t="s">
        <v>629</v>
      </c>
      <c r="AU23" t="s">
        <v>816</v>
      </c>
      <c r="AV23">
        <v>96</v>
      </c>
      <c r="AW23" t="s">
        <v>635</v>
      </c>
      <c r="AX23">
        <f>VLOOKUP(AW23,Metric_Codes!$C$91:$D$95,2,FALSE)</f>
        <v>2</v>
      </c>
      <c r="AY23" t="s">
        <v>47</v>
      </c>
      <c r="AZ23" t="s">
        <v>816</v>
      </c>
      <c r="BA23">
        <v>108</v>
      </c>
      <c r="BB23" t="s">
        <v>635</v>
      </c>
      <c r="BC23">
        <f>VLOOKUP(BB23,Metric_Codes!$C$91:$D$95,2,FALSE)</f>
        <v>2</v>
      </c>
      <c r="BD23" t="s">
        <v>636</v>
      </c>
      <c r="BE23">
        <f>VLOOKUP(BD23,Metric_Codes!$C$91:$D$95,2,FALSE)</f>
        <v>5</v>
      </c>
      <c r="BF23">
        <f t="shared" si="0"/>
        <v>3.5</v>
      </c>
      <c r="BG23" t="s">
        <v>47</v>
      </c>
      <c r="BH23" t="s">
        <v>1050</v>
      </c>
      <c r="BI23">
        <v>92</v>
      </c>
      <c r="BJ23" t="s">
        <v>1014</v>
      </c>
    </row>
    <row r="24" spans="1:62" x14ac:dyDescent="0.2">
      <c r="A24">
        <v>23</v>
      </c>
      <c r="B24" t="s">
        <v>665</v>
      </c>
      <c r="C24" t="s">
        <v>445</v>
      </c>
      <c r="D24" t="s">
        <v>446</v>
      </c>
      <c r="E24" t="s">
        <v>657</v>
      </c>
      <c r="F24" t="s">
        <v>656</v>
      </c>
      <c r="G24" t="s">
        <v>1157</v>
      </c>
      <c r="H24">
        <v>2011</v>
      </c>
      <c r="I24" t="s">
        <v>784</v>
      </c>
      <c r="J24" t="s">
        <v>1064</v>
      </c>
      <c r="K24" t="s">
        <v>785</v>
      </c>
      <c r="L24" t="s">
        <v>1041</v>
      </c>
      <c r="M24">
        <v>73409455</v>
      </c>
      <c r="N24" t="s">
        <v>67</v>
      </c>
      <c r="O24" t="s">
        <v>1154</v>
      </c>
      <c r="P24">
        <v>64.599999999999994</v>
      </c>
      <c r="Q24" t="s">
        <v>37</v>
      </c>
      <c r="R24" s="17" t="s">
        <v>1503</v>
      </c>
      <c r="S24">
        <v>0.08</v>
      </c>
      <c r="T24">
        <v>11340.8</v>
      </c>
      <c r="U24">
        <v>18391</v>
      </c>
      <c r="V24">
        <v>0.63900000000000001</v>
      </c>
      <c r="W24">
        <v>39</v>
      </c>
      <c r="X24">
        <v>41</v>
      </c>
      <c r="Y24" s="12">
        <v>1.091015E-2</v>
      </c>
      <c r="Z24" t="s">
        <v>19</v>
      </c>
      <c r="AA24">
        <v>1500000</v>
      </c>
      <c r="AB24">
        <v>601</v>
      </c>
      <c r="AC24">
        <v>180000</v>
      </c>
      <c r="AD24">
        <v>1000000</v>
      </c>
      <c r="AE24" s="17">
        <v>1.3622223458817397E-2</v>
      </c>
      <c r="AF24" t="s">
        <v>12</v>
      </c>
      <c r="AG24">
        <v>2000000</v>
      </c>
      <c r="AI24" s="13">
        <v>200000</v>
      </c>
      <c r="AJ24" t="s">
        <v>23</v>
      </c>
      <c r="AK24" t="s">
        <v>8</v>
      </c>
      <c r="AL24" t="s">
        <v>1052</v>
      </c>
      <c r="AM24" t="s">
        <v>47</v>
      </c>
      <c r="AN24" t="s">
        <v>832</v>
      </c>
      <c r="AO24" t="s">
        <v>615</v>
      </c>
      <c r="AP24" t="s">
        <v>1143</v>
      </c>
      <c r="AQ24" t="s">
        <v>6</v>
      </c>
      <c r="AR24" t="s">
        <v>624</v>
      </c>
      <c r="AS24" t="s">
        <v>1030</v>
      </c>
      <c r="AT24" t="s">
        <v>629</v>
      </c>
      <c r="AU24" t="s">
        <v>10</v>
      </c>
      <c r="AV24">
        <v>48</v>
      </c>
      <c r="AW24" t="s">
        <v>7</v>
      </c>
      <c r="AX24">
        <f>VLOOKUP(AW24,Metric_Codes!$C$91:$D$95,2,FALSE)</f>
        <v>3</v>
      </c>
      <c r="AY24" t="s">
        <v>47</v>
      </c>
      <c r="AZ24" t="s">
        <v>22</v>
      </c>
      <c r="BA24">
        <v>18</v>
      </c>
      <c r="BB24" t="s">
        <v>635</v>
      </c>
      <c r="BC24">
        <f>VLOOKUP(BB24,Metric_Codes!$C$91:$D$95,2,FALSE)</f>
        <v>2</v>
      </c>
      <c r="BD24" t="s">
        <v>11</v>
      </c>
      <c r="BE24">
        <f>VLOOKUP(BD24,Metric_Codes!$C$91:$D$95,2,FALSE)</f>
        <v>4</v>
      </c>
      <c r="BF24">
        <f t="shared" si="0"/>
        <v>3</v>
      </c>
      <c r="BG24" t="s">
        <v>47</v>
      </c>
      <c r="BH24" t="s">
        <v>1037</v>
      </c>
      <c r="BI24">
        <v>133</v>
      </c>
      <c r="BJ24" t="s">
        <v>1015</v>
      </c>
    </row>
    <row r="25" spans="1:62" x14ac:dyDescent="0.2">
      <c r="A25">
        <v>24</v>
      </c>
      <c r="B25" t="s">
        <v>666</v>
      </c>
      <c r="C25" t="s">
        <v>323</v>
      </c>
      <c r="D25" t="s">
        <v>324</v>
      </c>
      <c r="E25" t="s">
        <v>657</v>
      </c>
      <c r="F25" t="s">
        <v>657</v>
      </c>
      <c r="G25" t="s">
        <v>1157</v>
      </c>
      <c r="H25">
        <v>2015</v>
      </c>
      <c r="I25" t="s">
        <v>786</v>
      </c>
      <c r="J25" t="s">
        <v>1064</v>
      </c>
      <c r="K25" t="s">
        <v>787</v>
      </c>
      <c r="L25" t="s">
        <v>516</v>
      </c>
      <c r="M25">
        <v>28656282</v>
      </c>
      <c r="N25" t="s">
        <v>33</v>
      </c>
      <c r="O25" t="s">
        <v>1177</v>
      </c>
      <c r="P25">
        <v>53.8</v>
      </c>
      <c r="Q25" t="s">
        <v>32</v>
      </c>
      <c r="R25" s="17" t="s">
        <v>1503</v>
      </c>
      <c r="S25">
        <v>3.32E-2</v>
      </c>
      <c r="T25">
        <v>747.16</v>
      </c>
      <c r="U25">
        <v>2500</v>
      </c>
      <c r="V25">
        <v>0.42699999999999999</v>
      </c>
      <c r="W25">
        <v>32.799999999999997</v>
      </c>
      <c r="X25">
        <v>31</v>
      </c>
      <c r="Y25" t="s">
        <v>932</v>
      </c>
      <c r="Z25" t="s">
        <v>1</v>
      </c>
      <c r="AA25">
        <v>5174000</v>
      </c>
      <c r="AB25">
        <v>8831</v>
      </c>
      <c r="AC25">
        <v>81000</v>
      </c>
      <c r="AD25">
        <v>5639722</v>
      </c>
      <c r="AE25" s="17">
        <v>0.19680578241099106</v>
      </c>
      <c r="AF25" t="s">
        <v>12</v>
      </c>
      <c r="AG25">
        <v>178000</v>
      </c>
      <c r="AH25">
        <v>241000</v>
      </c>
      <c r="AI25" s="13">
        <v>100000</v>
      </c>
      <c r="AJ25" t="s">
        <v>3</v>
      </c>
      <c r="AK25" t="s">
        <v>4</v>
      </c>
      <c r="AL25" t="s">
        <v>1052</v>
      </c>
      <c r="AM25" t="s">
        <v>47</v>
      </c>
      <c r="AN25" t="s">
        <v>832</v>
      </c>
      <c r="AO25" t="s">
        <v>17</v>
      </c>
      <c r="AP25" t="s">
        <v>1141</v>
      </c>
      <c r="AQ25" t="s">
        <v>6</v>
      </c>
      <c r="AR25" t="s">
        <v>622</v>
      </c>
      <c r="AS25" t="s">
        <v>1023</v>
      </c>
      <c r="AT25" t="s">
        <v>629</v>
      </c>
      <c r="AU25" t="s">
        <v>10</v>
      </c>
      <c r="AV25">
        <v>48</v>
      </c>
      <c r="AW25" t="s">
        <v>7</v>
      </c>
      <c r="AX25">
        <f>VLOOKUP(AW25,Metric_Codes!$C$91:$D$95,2,FALSE)</f>
        <v>3</v>
      </c>
      <c r="AY25" t="s">
        <v>47</v>
      </c>
      <c r="AZ25" t="s">
        <v>816</v>
      </c>
      <c r="BA25">
        <v>84</v>
      </c>
      <c r="BB25" t="s">
        <v>7</v>
      </c>
      <c r="BC25">
        <f>VLOOKUP(BB25,Metric_Codes!$C$91:$D$95,2,FALSE)</f>
        <v>3</v>
      </c>
      <c r="BD25" t="s">
        <v>7</v>
      </c>
      <c r="BE25">
        <f>VLOOKUP(BD25,Metric_Codes!$C$91:$D$95,2,FALSE)</f>
        <v>3</v>
      </c>
      <c r="BF25">
        <f t="shared" si="0"/>
        <v>3</v>
      </c>
      <c r="BG25" t="s">
        <v>47</v>
      </c>
      <c r="BH25" t="s">
        <v>1037</v>
      </c>
      <c r="BI25">
        <v>61</v>
      </c>
      <c r="BJ25" t="s">
        <v>1016</v>
      </c>
    </row>
    <row r="26" spans="1:62" x14ac:dyDescent="0.2">
      <c r="A26">
        <v>25</v>
      </c>
      <c r="B26" t="s">
        <v>667</v>
      </c>
      <c r="C26" t="s">
        <v>240</v>
      </c>
      <c r="D26" t="s">
        <v>241</v>
      </c>
      <c r="E26" t="s">
        <v>657</v>
      </c>
      <c r="F26" t="s">
        <v>657</v>
      </c>
      <c r="G26" t="s">
        <v>1157</v>
      </c>
      <c r="H26">
        <v>1995</v>
      </c>
      <c r="I26" t="s">
        <v>788</v>
      </c>
      <c r="J26" t="s">
        <v>1065</v>
      </c>
      <c r="K26" t="s">
        <v>819</v>
      </c>
      <c r="L26" t="s">
        <v>1041</v>
      </c>
      <c r="M26">
        <v>92500572</v>
      </c>
      <c r="N26" t="s">
        <v>67</v>
      </c>
      <c r="O26" t="s">
        <v>1172</v>
      </c>
      <c r="P26">
        <v>72.099999999999994</v>
      </c>
      <c r="Q26" t="s">
        <v>47</v>
      </c>
      <c r="R26" s="17" t="s">
        <v>1503</v>
      </c>
      <c r="S26">
        <v>2.7E-2</v>
      </c>
      <c r="T26">
        <v>43440.4</v>
      </c>
      <c r="U26">
        <v>23610</v>
      </c>
      <c r="V26">
        <v>0.876</v>
      </c>
      <c r="W26">
        <v>32.1</v>
      </c>
      <c r="X26">
        <v>73</v>
      </c>
      <c r="Y26" s="12">
        <v>2.4059649999999998E-2</v>
      </c>
      <c r="Z26" t="s">
        <v>1</v>
      </c>
      <c r="AA26">
        <v>100000000</v>
      </c>
      <c r="AB26">
        <v>5297</v>
      </c>
      <c r="AD26">
        <v>541636</v>
      </c>
      <c r="AE26" s="17">
        <v>5.8554881152518713E-3</v>
      </c>
      <c r="AF26" t="s">
        <v>20</v>
      </c>
      <c r="AG26" s="13">
        <v>8070000</v>
      </c>
      <c r="AH26">
        <v>44812000</v>
      </c>
      <c r="AI26" s="13">
        <v>3000000</v>
      </c>
      <c r="AJ26" t="s">
        <v>16</v>
      </c>
      <c r="AK26" t="s">
        <v>8</v>
      </c>
      <c r="AL26" t="s">
        <v>600</v>
      </c>
      <c r="AM26" t="s">
        <v>814</v>
      </c>
      <c r="AN26" t="s">
        <v>835</v>
      </c>
      <c r="AO26" t="s">
        <v>5</v>
      </c>
      <c r="AP26" t="s">
        <v>1143</v>
      </c>
      <c r="AQ26" t="s">
        <v>6</v>
      </c>
      <c r="AR26" t="s">
        <v>624</v>
      </c>
      <c r="AS26" t="s">
        <v>1025</v>
      </c>
      <c r="AT26" t="s">
        <v>629</v>
      </c>
      <c r="AU26" t="s">
        <v>22</v>
      </c>
      <c r="AV26">
        <v>18</v>
      </c>
      <c r="AW26" t="s">
        <v>635</v>
      </c>
      <c r="AX26">
        <f>VLOOKUP(AW26,Metric_Codes!$C$91:$D$95,2,FALSE)</f>
        <v>2</v>
      </c>
      <c r="AY26" t="s">
        <v>47</v>
      </c>
      <c r="AZ26" t="s">
        <v>10</v>
      </c>
      <c r="BA26">
        <v>48</v>
      </c>
      <c r="BB26" t="s">
        <v>11</v>
      </c>
      <c r="BC26">
        <f>VLOOKUP(BB26,Metric_Codes!$C$91:$D$95,2,FALSE)</f>
        <v>4</v>
      </c>
      <c r="BD26" t="s">
        <v>636</v>
      </c>
      <c r="BE26">
        <f>VLOOKUP(BD26,Metric_Codes!$C$91:$D$95,2,FALSE)</f>
        <v>5</v>
      </c>
      <c r="BF26">
        <f t="shared" si="0"/>
        <v>4.5</v>
      </c>
      <c r="BG26" t="s">
        <v>47</v>
      </c>
      <c r="BH26" t="s">
        <v>1051</v>
      </c>
      <c r="BI26">
        <v>11</v>
      </c>
      <c r="BJ26" t="s">
        <v>1017</v>
      </c>
    </row>
    <row r="27" spans="1:62" x14ac:dyDescent="0.2">
      <c r="A27">
        <v>26</v>
      </c>
      <c r="B27" t="s">
        <v>668</v>
      </c>
      <c r="C27" t="s">
        <v>212</v>
      </c>
      <c r="D27" t="s">
        <v>213</v>
      </c>
      <c r="E27" t="s">
        <v>656</v>
      </c>
      <c r="F27" t="s">
        <v>656</v>
      </c>
      <c r="G27" t="s">
        <v>1157</v>
      </c>
      <c r="H27">
        <v>2010</v>
      </c>
      <c r="I27" t="s">
        <v>789</v>
      </c>
      <c r="J27" t="s">
        <v>1064</v>
      </c>
      <c r="K27" t="s">
        <v>818</v>
      </c>
      <c r="L27" t="s">
        <v>1041</v>
      </c>
      <c r="M27">
        <v>9999617</v>
      </c>
      <c r="N27" t="s">
        <v>33</v>
      </c>
      <c r="O27" t="s">
        <v>1172</v>
      </c>
      <c r="P27">
        <v>52.7</v>
      </c>
      <c r="Q27" t="s">
        <v>32</v>
      </c>
      <c r="R27" s="17" t="s">
        <v>1505</v>
      </c>
      <c r="S27">
        <v>-5.5E-2</v>
      </c>
      <c r="T27">
        <v>662.3</v>
      </c>
      <c r="U27">
        <v>1480</v>
      </c>
      <c r="V27">
        <v>0.30399999999999999</v>
      </c>
      <c r="W27">
        <v>41.1</v>
      </c>
      <c r="X27">
        <v>20</v>
      </c>
      <c r="Y27" s="12">
        <v>3.0000000000000001E-3</v>
      </c>
      <c r="Z27" t="s">
        <v>14</v>
      </c>
      <c r="AA27">
        <v>8000000</v>
      </c>
      <c r="AB27">
        <v>222570</v>
      </c>
      <c r="AC27">
        <v>1500000</v>
      </c>
      <c r="AD27">
        <v>3700000</v>
      </c>
      <c r="AE27" s="17">
        <v>0.37001417154277011</v>
      </c>
      <c r="AF27" t="s">
        <v>12</v>
      </c>
      <c r="AG27"/>
      <c r="AH27">
        <v>1600000</v>
      </c>
      <c r="AI27" s="13">
        <v>150000</v>
      </c>
      <c r="AJ27" t="s">
        <v>16</v>
      </c>
      <c r="AK27" t="s">
        <v>4</v>
      </c>
      <c r="AL27" t="s">
        <v>1052</v>
      </c>
      <c r="AM27" t="s">
        <v>47</v>
      </c>
      <c r="AN27" t="s">
        <v>832</v>
      </c>
      <c r="AO27" t="s">
        <v>5</v>
      </c>
      <c r="AP27" t="s">
        <v>1140</v>
      </c>
      <c r="AQ27" t="s">
        <v>620</v>
      </c>
      <c r="AR27" t="s">
        <v>623</v>
      </c>
      <c r="AS27" t="s">
        <v>1022</v>
      </c>
      <c r="AT27" t="s">
        <v>629</v>
      </c>
      <c r="AU27" t="s">
        <v>816</v>
      </c>
      <c r="AV27">
        <v>96</v>
      </c>
      <c r="AW27" t="s">
        <v>7</v>
      </c>
      <c r="AX27">
        <f>VLOOKUP(AW27,Metric_Codes!$C$91:$D$95,2,FALSE)</f>
        <v>3</v>
      </c>
      <c r="AY27" t="s">
        <v>814</v>
      </c>
      <c r="AZ27" t="s">
        <v>816</v>
      </c>
      <c r="BA27">
        <v>108</v>
      </c>
      <c r="BB27" t="s">
        <v>7</v>
      </c>
      <c r="BC27">
        <f>VLOOKUP(BB27,Metric_Codes!$C$91:$D$95,2,FALSE)</f>
        <v>3</v>
      </c>
      <c r="BD27" t="s">
        <v>7</v>
      </c>
      <c r="BE27">
        <f>VLOOKUP(BD27,Metric_Codes!$C$91:$D$95,2,FALSE)</f>
        <v>3</v>
      </c>
      <c r="BF27">
        <f t="shared" si="0"/>
        <v>3</v>
      </c>
      <c r="BG27" t="s">
        <v>814</v>
      </c>
      <c r="BH27" t="s">
        <v>1037</v>
      </c>
      <c r="BI27">
        <v>18</v>
      </c>
      <c r="BJ27" t="s">
        <v>1018</v>
      </c>
    </row>
    <row r="28" spans="1:62" x14ac:dyDescent="0.2">
      <c r="A28">
        <v>27</v>
      </c>
      <c r="B28" t="s">
        <v>669</v>
      </c>
      <c r="C28" t="s">
        <v>224</v>
      </c>
      <c r="D28" t="s">
        <v>225</v>
      </c>
      <c r="E28" t="s">
        <v>656</v>
      </c>
      <c r="F28" t="s">
        <v>656</v>
      </c>
      <c r="G28" t="s">
        <v>1157</v>
      </c>
      <c r="H28">
        <v>2010</v>
      </c>
      <c r="I28" t="s">
        <v>786</v>
      </c>
      <c r="J28" t="s">
        <v>1064</v>
      </c>
      <c r="K28" t="s">
        <v>857</v>
      </c>
      <c r="L28" t="s">
        <v>1041</v>
      </c>
      <c r="M28">
        <v>242524123</v>
      </c>
      <c r="N28" t="s">
        <v>57</v>
      </c>
      <c r="O28" t="s">
        <v>1185</v>
      </c>
      <c r="P28">
        <v>65.8</v>
      </c>
      <c r="Q28" t="s">
        <v>51</v>
      </c>
      <c r="R28" s="17" t="s">
        <v>1503</v>
      </c>
      <c r="S28">
        <v>6.2E-2</v>
      </c>
      <c r="T28">
        <v>3113.5</v>
      </c>
      <c r="U28">
        <v>8040</v>
      </c>
      <c r="V28">
        <v>0.56299999999999994</v>
      </c>
      <c r="W28">
        <v>38.1</v>
      </c>
      <c r="X28">
        <v>38</v>
      </c>
      <c r="Y28" s="12">
        <v>4.0873979999999999E-3</v>
      </c>
      <c r="Z28" t="s">
        <v>601</v>
      </c>
      <c r="AA28">
        <v>3482</v>
      </c>
      <c r="AB28">
        <v>530</v>
      </c>
      <c r="AC28">
        <v>20000</v>
      </c>
      <c r="AD28">
        <v>11864</v>
      </c>
      <c r="AE28" s="17">
        <v>4.8918845075052594E-5</v>
      </c>
      <c r="AF28" t="s">
        <v>12</v>
      </c>
      <c r="AG28"/>
      <c r="AH28">
        <v>81000</v>
      </c>
      <c r="AJ28" t="s">
        <v>23</v>
      </c>
      <c r="AK28" t="s">
        <v>4</v>
      </c>
      <c r="AL28" t="s">
        <v>1052</v>
      </c>
      <c r="AM28" t="s">
        <v>47</v>
      </c>
      <c r="AN28" t="s">
        <v>834</v>
      </c>
      <c r="AO28" t="s">
        <v>615</v>
      </c>
      <c r="AP28" t="s">
        <v>1142</v>
      </c>
      <c r="AQ28" t="s">
        <v>6</v>
      </c>
      <c r="AR28" t="s">
        <v>623</v>
      </c>
      <c r="AS28" t="s">
        <v>1023</v>
      </c>
      <c r="AT28" t="s">
        <v>629</v>
      </c>
      <c r="AU28" t="s">
        <v>22</v>
      </c>
      <c r="AV28">
        <v>18</v>
      </c>
      <c r="AW28" t="s">
        <v>7</v>
      </c>
      <c r="AX28">
        <f>VLOOKUP(AW28,Metric_Codes!$C$91:$D$95,2,FALSE)</f>
        <v>3</v>
      </c>
      <c r="AY28" t="s">
        <v>32</v>
      </c>
      <c r="AZ28" t="s">
        <v>10</v>
      </c>
      <c r="BA28">
        <v>36</v>
      </c>
      <c r="BB28" t="s">
        <v>7</v>
      </c>
      <c r="BC28">
        <f>VLOOKUP(BB28,Metric_Codes!$C$91:$D$95,2,FALSE)</f>
        <v>3</v>
      </c>
      <c r="BD28" t="s">
        <v>11</v>
      </c>
      <c r="BE28">
        <f>VLOOKUP(BD28,Metric_Codes!$C$91:$D$95,2,FALSE)</f>
        <v>4</v>
      </c>
      <c r="BF28">
        <f t="shared" si="0"/>
        <v>3.5</v>
      </c>
      <c r="BG28" t="s">
        <v>814</v>
      </c>
      <c r="BH28" t="s">
        <v>1037</v>
      </c>
      <c r="BI28">
        <v>12</v>
      </c>
      <c r="BJ28" t="s">
        <v>854</v>
      </c>
    </row>
    <row r="29" spans="1:62" x14ac:dyDescent="0.2">
      <c r="A29">
        <v>28</v>
      </c>
      <c r="B29" t="s">
        <v>670</v>
      </c>
      <c r="C29" t="s">
        <v>127</v>
      </c>
      <c r="D29" t="s">
        <v>128</v>
      </c>
      <c r="E29" t="s">
        <v>638</v>
      </c>
      <c r="F29" t="s">
        <v>639</v>
      </c>
      <c r="G29" t="s">
        <v>1158</v>
      </c>
      <c r="H29">
        <v>1931</v>
      </c>
      <c r="I29" t="s">
        <v>1096</v>
      </c>
      <c r="J29" t="s">
        <v>1063</v>
      </c>
      <c r="K29" t="s">
        <v>1093</v>
      </c>
      <c r="L29" t="s">
        <v>516</v>
      </c>
      <c r="M29">
        <v>667070000</v>
      </c>
      <c r="N29" t="s">
        <v>57</v>
      </c>
      <c r="O29" t="s">
        <v>1185</v>
      </c>
      <c r="P29">
        <v>67.3</v>
      </c>
      <c r="Q29" t="s">
        <v>37</v>
      </c>
      <c r="R29" s="17" t="s">
        <v>1505</v>
      </c>
      <c r="S29">
        <v>-0.2727</v>
      </c>
      <c r="T29">
        <v>89.52</v>
      </c>
      <c r="U29">
        <v>990</v>
      </c>
      <c r="V29">
        <v>0.64300000000000002</v>
      </c>
      <c r="W29">
        <v>38.6</v>
      </c>
      <c r="X29">
        <v>39</v>
      </c>
      <c r="Z29" t="s">
        <v>14</v>
      </c>
      <c r="AA29">
        <v>1400000</v>
      </c>
      <c r="AB29">
        <v>3700000</v>
      </c>
      <c r="AC29">
        <v>25000000</v>
      </c>
      <c r="AF29" t="s">
        <v>12</v>
      </c>
      <c r="AG29"/>
      <c r="AJ29" t="s">
        <v>23</v>
      </c>
      <c r="AK29" t="s">
        <v>24</v>
      </c>
      <c r="AL29" t="s">
        <v>1052</v>
      </c>
      <c r="AM29" t="s">
        <v>47</v>
      </c>
      <c r="AN29" t="s">
        <v>831</v>
      </c>
      <c r="AO29" t="s">
        <v>5</v>
      </c>
      <c r="AP29" t="s">
        <v>1140</v>
      </c>
      <c r="AQ29" t="s">
        <v>6</v>
      </c>
      <c r="AR29" t="s">
        <v>624</v>
      </c>
      <c r="AS29" t="s">
        <v>1022</v>
      </c>
      <c r="AT29" t="s">
        <v>629</v>
      </c>
      <c r="AU29" t="s">
        <v>815</v>
      </c>
      <c r="AV29">
        <v>180</v>
      </c>
      <c r="AW29" t="s">
        <v>11</v>
      </c>
      <c r="AX29">
        <f>VLOOKUP(AW29,Metric_Codes!$C$91:$D$95,2,FALSE)</f>
        <v>4</v>
      </c>
      <c r="AY29" t="s">
        <v>32</v>
      </c>
      <c r="AZ29" t="s">
        <v>815</v>
      </c>
      <c r="BA29">
        <v>180</v>
      </c>
      <c r="BB29" t="s">
        <v>11</v>
      </c>
      <c r="BC29">
        <f>VLOOKUP(BB29,Metric_Codes!$C$91:$D$95,2,FALSE)</f>
        <v>4</v>
      </c>
      <c r="BD29" t="s">
        <v>11</v>
      </c>
      <c r="BE29">
        <f>VLOOKUP(BD29,Metric_Codes!$C$91:$D$95,2,FALSE)</f>
        <v>4</v>
      </c>
      <c r="BF29">
        <f t="shared" si="0"/>
        <v>4</v>
      </c>
      <c r="BG29" t="s">
        <v>32</v>
      </c>
      <c r="BH29" t="s">
        <v>1037</v>
      </c>
      <c r="BI29">
        <v>5</v>
      </c>
      <c r="BJ29" t="s">
        <v>851</v>
      </c>
    </row>
    <row r="30" spans="1:62" x14ac:dyDescent="0.2">
      <c r="A30">
        <v>29</v>
      </c>
      <c r="B30" t="s">
        <v>671</v>
      </c>
      <c r="C30" t="s">
        <v>461</v>
      </c>
      <c r="D30" t="s">
        <v>462</v>
      </c>
      <c r="E30" t="s">
        <v>638</v>
      </c>
      <c r="F30" t="s">
        <v>639</v>
      </c>
      <c r="G30" t="s">
        <v>1158</v>
      </c>
      <c r="H30">
        <v>1937</v>
      </c>
      <c r="I30" t="s">
        <v>1097</v>
      </c>
      <c r="J30" t="s">
        <v>1064</v>
      </c>
      <c r="K30" t="s">
        <v>820</v>
      </c>
      <c r="L30" t="s">
        <v>1041</v>
      </c>
      <c r="M30">
        <v>180671000</v>
      </c>
      <c r="N30" t="s">
        <v>64</v>
      </c>
      <c r="O30" t="s">
        <v>1172</v>
      </c>
      <c r="P30">
        <v>76.8</v>
      </c>
      <c r="Q30" t="s">
        <v>47</v>
      </c>
      <c r="R30" s="17" t="s">
        <v>1503</v>
      </c>
      <c r="S30">
        <v>2.3E-2</v>
      </c>
      <c r="T30">
        <v>3007.12</v>
      </c>
      <c r="U30">
        <v>23730</v>
      </c>
      <c r="V30">
        <v>0.79700000000000004</v>
      </c>
      <c r="W30">
        <v>41.5</v>
      </c>
      <c r="X30">
        <v>71</v>
      </c>
      <c r="Z30" t="s">
        <v>1</v>
      </c>
      <c r="AA30">
        <v>1516000</v>
      </c>
      <c r="AB30">
        <v>385</v>
      </c>
      <c r="AC30">
        <v>1000000</v>
      </c>
      <c r="AF30" t="s">
        <v>12</v>
      </c>
      <c r="AG30" s="13">
        <v>1068000</v>
      </c>
      <c r="AH30">
        <v>31000</v>
      </c>
      <c r="AJ30" t="s">
        <v>3</v>
      </c>
      <c r="AK30" t="s">
        <v>4</v>
      </c>
      <c r="AL30" t="s">
        <v>1052</v>
      </c>
      <c r="AM30" t="s">
        <v>47</v>
      </c>
      <c r="AN30" t="s">
        <v>835</v>
      </c>
      <c r="AO30" t="s">
        <v>5</v>
      </c>
      <c r="AP30" t="s">
        <v>1141</v>
      </c>
      <c r="AQ30" t="s">
        <v>9</v>
      </c>
      <c r="AR30" t="s">
        <v>624</v>
      </c>
      <c r="AS30" t="s">
        <v>1023</v>
      </c>
      <c r="AT30" t="s">
        <v>629</v>
      </c>
      <c r="AU30" t="s">
        <v>816</v>
      </c>
      <c r="AV30">
        <v>96</v>
      </c>
      <c r="AW30" t="s">
        <v>11</v>
      </c>
      <c r="AX30">
        <f>VLOOKUP(AW30,Metric_Codes!$C$91:$D$95,2,FALSE)</f>
        <v>4</v>
      </c>
      <c r="AY30" t="s">
        <v>32</v>
      </c>
      <c r="AZ30" t="s">
        <v>816</v>
      </c>
      <c r="BA30">
        <v>96</v>
      </c>
      <c r="BB30" t="s">
        <v>11</v>
      </c>
      <c r="BC30">
        <f>VLOOKUP(BB30,Metric_Codes!$C$91:$D$95,2,FALSE)</f>
        <v>4</v>
      </c>
      <c r="BD30" t="s">
        <v>636</v>
      </c>
      <c r="BE30">
        <f>VLOOKUP(BD30,Metric_Codes!$C$91:$D$95,2,FALSE)</f>
        <v>5</v>
      </c>
      <c r="BF30">
        <f t="shared" si="0"/>
        <v>4.5</v>
      </c>
      <c r="BG30" t="s">
        <v>32</v>
      </c>
      <c r="BH30" t="s">
        <v>1037</v>
      </c>
      <c r="BI30">
        <v>23</v>
      </c>
      <c r="BJ30" t="s">
        <v>853</v>
      </c>
    </row>
    <row r="31" spans="1:62" x14ac:dyDescent="0.2">
      <c r="A31">
        <v>30</v>
      </c>
      <c r="B31" t="s">
        <v>672</v>
      </c>
      <c r="C31" t="s">
        <v>127</v>
      </c>
      <c r="D31" t="s">
        <v>128</v>
      </c>
      <c r="E31" t="s">
        <v>638</v>
      </c>
      <c r="F31" t="s">
        <v>639</v>
      </c>
      <c r="G31" t="s">
        <v>1158</v>
      </c>
      <c r="H31">
        <v>1939</v>
      </c>
      <c r="I31" t="s">
        <v>1043</v>
      </c>
      <c r="J31" t="s">
        <v>1064</v>
      </c>
      <c r="K31" t="s">
        <v>856</v>
      </c>
      <c r="L31" t="s">
        <v>1040</v>
      </c>
      <c r="M31">
        <v>667070000</v>
      </c>
      <c r="N31" t="s">
        <v>57</v>
      </c>
      <c r="O31" t="s">
        <v>1185</v>
      </c>
      <c r="P31">
        <v>67.3</v>
      </c>
      <c r="Q31" t="s">
        <v>37</v>
      </c>
      <c r="R31" s="17" t="s">
        <v>1505</v>
      </c>
      <c r="S31">
        <v>-0.2727</v>
      </c>
      <c r="T31">
        <v>89.52</v>
      </c>
      <c r="U31">
        <v>990</v>
      </c>
      <c r="V31">
        <v>0.64300000000000002</v>
      </c>
      <c r="W31">
        <v>38.6</v>
      </c>
      <c r="X31">
        <v>39</v>
      </c>
      <c r="Z31" t="s">
        <v>1</v>
      </c>
      <c r="AA31">
        <v>1400000</v>
      </c>
      <c r="AB31">
        <v>20000</v>
      </c>
      <c r="AD31">
        <v>3000000</v>
      </c>
      <c r="AE31" s="17">
        <v>4.4972791461165996E-3</v>
      </c>
      <c r="AF31" t="s">
        <v>18</v>
      </c>
      <c r="AG31"/>
      <c r="AK31" t="s">
        <v>24</v>
      </c>
      <c r="AL31" t="s">
        <v>1052</v>
      </c>
      <c r="AM31" t="s">
        <v>47</v>
      </c>
      <c r="AN31" t="s">
        <v>831</v>
      </c>
      <c r="AO31" t="s">
        <v>5</v>
      </c>
      <c r="AP31" t="s">
        <v>1140</v>
      </c>
      <c r="AQ31" t="s">
        <v>6</v>
      </c>
      <c r="AR31" t="s">
        <v>624</v>
      </c>
      <c r="AS31" t="s">
        <v>1023</v>
      </c>
      <c r="AT31" t="s">
        <v>629</v>
      </c>
      <c r="AU31" t="s">
        <v>815</v>
      </c>
      <c r="AV31">
        <v>180</v>
      </c>
      <c r="AW31" t="s">
        <v>7</v>
      </c>
      <c r="AX31">
        <f>VLOOKUP(AW31,Metric_Codes!$C$91:$D$95,2,FALSE)</f>
        <v>3</v>
      </c>
      <c r="AY31" t="s">
        <v>32</v>
      </c>
      <c r="AZ31" t="s">
        <v>815</v>
      </c>
      <c r="BA31">
        <v>144</v>
      </c>
      <c r="BB31" t="s">
        <v>7</v>
      </c>
      <c r="BC31">
        <f>VLOOKUP(BB31,Metric_Codes!$C$91:$D$95,2,FALSE)</f>
        <v>3</v>
      </c>
      <c r="BD31" t="s">
        <v>11</v>
      </c>
      <c r="BE31">
        <f>VLOOKUP(BD31,Metric_Codes!$C$91:$D$95,2,FALSE)</f>
        <v>4</v>
      </c>
      <c r="BF31">
        <f t="shared" si="0"/>
        <v>3.5</v>
      </c>
      <c r="BG31" t="s">
        <v>32</v>
      </c>
      <c r="BH31" t="s">
        <v>1037</v>
      </c>
      <c r="BI31">
        <v>3</v>
      </c>
      <c r="BJ31" t="s">
        <v>852</v>
      </c>
    </row>
    <row r="32" spans="1:62" x14ac:dyDescent="0.2">
      <c r="A32">
        <v>31</v>
      </c>
      <c r="B32" t="s">
        <v>673</v>
      </c>
      <c r="C32" t="s">
        <v>204</v>
      </c>
      <c r="D32" t="s">
        <v>205</v>
      </c>
      <c r="E32" t="s">
        <v>638</v>
      </c>
      <c r="F32" t="s">
        <v>639</v>
      </c>
      <c r="G32" t="s">
        <v>1158</v>
      </c>
      <c r="H32">
        <v>1949</v>
      </c>
      <c r="I32" t="s">
        <v>1043</v>
      </c>
      <c r="J32" t="s">
        <v>1063</v>
      </c>
      <c r="K32" t="s">
        <v>858</v>
      </c>
      <c r="L32" t="s">
        <v>1041</v>
      </c>
      <c r="M32">
        <v>4210747</v>
      </c>
      <c r="N32" t="s">
        <v>33</v>
      </c>
      <c r="O32" t="s">
        <v>1172</v>
      </c>
      <c r="P32">
        <v>62.6</v>
      </c>
      <c r="Q32" t="s">
        <v>37</v>
      </c>
      <c r="R32" s="17" t="s">
        <v>1503</v>
      </c>
      <c r="S32">
        <v>4.2999999999999997E-2</v>
      </c>
      <c r="T32">
        <v>247.84</v>
      </c>
      <c r="U32">
        <v>3230</v>
      </c>
      <c r="V32">
        <v>0.46700000000000003</v>
      </c>
      <c r="W32">
        <v>48.3</v>
      </c>
      <c r="X32">
        <v>27</v>
      </c>
      <c r="Y32" t="s">
        <v>932</v>
      </c>
      <c r="Z32" t="s">
        <v>599</v>
      </c>
      <c r="AA32">
        <v>15000</v>
      </c>
      <c r="AB32">
        <v>1000</v>
      </c>
      <c r="AC32">
        <v>20000</v>
      </c>
      <c r="AF32" t="s">
        <v>12</v>
      </c>
      <c r="AG32"/>
      <c r="AK32" t="s">
        <v>4</v>
      </c>
      <c r="AL32" t="s">
        <v>1052</v>
      </c>
      <c r="AM32" t="s">
        <v>47</v>
      </c>
      <c r="AN32" t="s">
        <v>832</v>
      </c>
      <c r="AO32" t="s">
        <v>5</v>
      </c>
      <c r="AP32" t="s">
        <v>1140</v>
      </c>
      <c r="AQ32" t="s">
        <v>6</v>
      </c>
      <c r="AR32" t="s">
        <v>623</v>
      </c>
      <c r="AS32" t="s">
        <v>1023</v>
      </c>
      <c r="AT32" t="s">
        <v>629</v>
      </c>
      <c r="AU32" t="s">
        <v>22</v>
      </c>
      <c r="AV32">
        <v>18</v>
      </c>
      <c r="AW32" t="s">
        <v>7</v>
      </c>
      <c r="AX32">
        <f>VLOOKUP(AW32,Metric_Codes!$C$91:$D$95,2,FALSE)</f>
        <v>3</v>
      </c>
      <c r="AY32" t="s">
        <v>32</v>
      </c>
      <c r="AZ32" t="s">
        <v>10</v>
      </c>
      <c r="BA32">
        <v>36</v>
      </c>
      <c r="BB32" t="s">
        <v>7</v>
      </c>
      <c r="BC32">
        <f>VLOOKUP(BB32,Metric_Codes!$C$91:$D$95,2,FALSE)</f>
        <v>3</v>
      </c>
      <c r="BD32" t="s">
        <v>7</v>
      </c>
      <c r="BE32">
        <f>VLOOKUP(BD32,Metric_Codes!$C$91:$D$95,2,FALSE)</f>
        <v>3</v>
      </c>
      <c r="BF32">
        <f t="shared" si="0"/>
        <v>3</v>
      </c>
      <c r="BG32" t="s">
        <v>32</v>
      </c>
      <c r="BH32" t="s">
        <v>1037</v>
      </c>
      <c r="BI32">
        <v>4</v>
      </c>
      <c r="BJ32" t="s">
        <v>855</v>
      </c>
    </row>
    <row r="33" spans="1:62" x14ac:dyDescent="0.2">
      <c r="A33">
        <v>32</v>
      </c>
      <c r="B33" t="s">
        <v>674</v>
      </c>
      <c r="C33" t="s">
        <v>240</v>
      </c>
      <c r="D33" t="s">
        <v>241</v>
      </c>
      <c r="E33" t="s">
        <v>638</v>
      </c>
      <c r="F33" t="s">
        <v>639</v>
      </c>
      <c r="G33" t="s">
        <v>1158</v>
      </c>
      <c r="H33">
        <v>1953</v>
      </c>
      <c r="I33" t="s">
        <v>1115</v>
      </c>
      <c r="J33" t="s">
        <v>1064</v>
      </c>
      <c r="K33" t="s">
        <v>860</v>
      </c>
      <c r="L33" t="s">
        <v>1041</v>
      </c>
      <c r="M33">
        <v>92500572</v>
      </c>
      <c r="N33" t="s">
        <v>67</v>
      </c>
      <c r="O33" t="s">
        <v>1172</v>
      </c>
      <c r="P33">
        <v>72.099999999999994</v>
      </c>
      <c r="Q33" t="s">
        <v>47</v>
      </c>
      <c r="R33" s="17" t="s">
        <v>1503</v>
      </c>
      <c r="S33">
        <v>0.12039999999999999</v>
      </c>
      <c r="T33">
        <v>479</v>
      </c>
      <c r="U33">
        <v>19620</v>
      </c>
      <c r="V33">
        <v>0.876</v>
      </c>
      <c r="W33">
        <v>32.1</v>
      </c>
      <c r="X33">
        <v>73</v>
      </c>
      <c r="Y33" t="s">
        <v>933</v>
      </c>
      <c r="Z33" t="s">
        <v>599</v>
      </c>
      <c r="AA33">
        <v>1991000</v>
      </c>
      <c r="AB33">
        <v>759</v>
      </c>
      <c r="AD33">
        <v>1886760</v>
      </c>
      <c r="AE33" s="17">
        <v>2.0397279273040605E-2</v>
      </c>
      <c r="AF33" t="s">
        <v>12</v>
      </c>
      <c r="AJ33" t="s">
        <v>3</v>
      </c>
      <c r="AK33" t="s">
        <v>8</v>
      </c>
      <c r="AL33" t="s">
        <v>1052</v>
      </c>
      <c r="AM33" t="s">
        <v>47</v>
      </c>
      <c r="AN33" t="s">
        <v>835</v>
      </c>
      <c r="AO33" t="s">
        <v>5</v>
      </c>
      <c r="AP33" t="s">
        <v>1142</v>
      </c>
      <c r="AQ33" t="s">
        <v>9</v>
      </c>
      <c r="AR33" t="s">
        <v>624</v>
      </c>
      <c r="AS33" t="s">
        <v>1023</v>
      </c>
      <c r="AT33" t="s">
        <v>629</v>
      </c>
      <c r="AU33" t="s">
        <v>22</v>
      </c>
      <c r="AV33">
        <v>18</v>
      </c>
      <c r="AW33" t="s">
        <v>7</v>
      </c>
      <c r="AX33">
        <f>VLOOKUP(AW33,Metric_Codes!$C$91:$D$95,2,FALSE)</f>
        <v>3</v>
      </c>
      <c r="AY33" t="s">
        <v>32</v>
      </c>
      <c r="AZ33" t="s">
        <v>22</v>
      </c>
      <c r="BA33">
        <v>18</v>
      </c>
      <c r="BB33" t="s">
        <v>7</v>
      </c>
      <c r="BC33">
        <f>VLOOKUP(BB33,Metric_Codes!$C$91:$D$95,2,FALSE)</f>
        <v>3</v>
      </c>
      <c r="BD33" t="s">
        <v>11</v>
      </c>
      <c r="BE33">
        <f>VLOOKUP(BD33,Metric_Codes!$C$91:$D$95,2,FALSE)</f>
        <v>4</v>
      </c>
      <c r="BF33">
        <f t="shared" si="0"/>
        <v>3.5</v>
      </c>
      <c r="BG33" t="s">
        <v>32</v>
      </c>
      <c r="BH33" t="s">
        <v>1037</v>
      </c>
      <c r="BI33">
        <v>4</v>
      </c>
      <c r="BJ33" t="s">
        <v>859</v>
      </c>
    </row>
    <row r="34" spans="1:62" x14ac:dyDescent="0.2">
      <c r="A34">
        <v>33</v>
      </c>
      <c r="B34" t="s">
        <v>675</v>
      </c>
      <c r="C34" t="s">
        <v>325</v>
      </c>
      <c r="D34" t="s">
        <v>326</v>
      </c>
      <c r="E34" t="s">
        <v>638</v>
      </c>
      <c r="F34" t="s">
        <v>676</v>
      </c>
      <c r="G34" t="s">
        <v>1158</v>
      </c>
      <c r="H34">
        <v>1953</v>
      </c>
      <c r="I34" t="s">
        <v>1116</v>
      </c>
      <c r="J34" t="s">
        <v>1064</v>
      </c>
      <c r="K34" t="s">
        <v>861</v>
      </c>
      <c r="L34" t="s">
        <v>1041</v>
      </c>
      <c r="M34">
        <v>11486631</v>
      </c>
      <c r="N34" t="s">
        <v>64</v>
      </c>
      <c r="O34" t="s">
        <v>1173</v>
      </c>
      <c r="P34">
        <v>76.8</v>
      </c>
      <c r="Q34" t="s">
        <v>47</v>
      </c>
      <c r="R34" s="17" t="s">
        <v>1504</v>
      </c>
      <c r="S34">
        <v>3.0000000000000001E-3</v>
      </c>
      <c r="T34">
        <v>1068.78</v>
      </c>
      <c r="U34">
        <v>18730</v>
      </c>
      <c r="V34">
        <v>0.85699999999999998</v>
      </c>
      <c r="W34">
        <v>28.2</v>
      </c>
      <c r="X34">
        <v>82</v>
      </c>
      <c r="Y34" t="s">
        <v>934</v>
      </c>
      <c r="Z34" t="s">
        <v>19</v>
      </c>
      <c r="AA34">
        <v>300000</v>
      </c>
      <c r="AB34">
        <v>1836</v>
      </c>
      <c r="AC34">
        <v>72000</v>
      </c>
      <c r="AD34">
        <v>300000</v>
      </c>
      <c r="AE34" s="17">
        <v>2.611731847223089E-2</v>
      </c>
      <c r="AF34" t="s">
        <v>2</v>
      </c>
      <c r="AJ34" t="s">
        <v>16</v>
      </c>
      <c r="AK34" t="s">
        <v>8</v>
      </c>
      <c r="AL34" t="s">
        <v>631</v>
      </c>
      <c r="AM34" t="s">
        <v>47</v>
      </c>
      <c r="AN34" t="s">
        <v>835</v>
      </c>
      <c r="AO34" t="s">
        <v>5</v>
      </c>
      <c r="AP34" t="s">
        <v>1143</v>
      </c>
      <c r="AQ34" t="s">
        <v>9</v>
      </c>
      <c r="AR34" t="s">
        <v>624</v>
      </c>
      <c r="AS34" t="s">
        <v>1025</v>
      </c>
      <c r="AT34" t="s">
        <v>627</v>
      </c>
      <c r="AU34" t="s">
        <v>845</v>
      </c>
      <c r="AV34">
        <v>9</v>
      </c>
      <c r="AW34" t="s">
        <v>11</v>
      </c>
      <c r="AX34">
        <f>VLOOKUP(AW34,Metric_Codes!$C$91:$D$95,2,FALSE)</f>
        <v>4</v>
      </c>
      <c r="AY34" t="s">
        <v>814</v>
      </c>
      <c r="AZ34" t="s">
        <v>22</v>
      </c>
      <c r="BA34">
        <v>18</v>
      </c>
      <c r="BB34" t="s">
        <v>11</v>
      </c>
      <c r="BC34">
        <f>VLOOKUP(BB34,Metric_Codes!$C$91:$D$95,2,FALSE)</f>
        <v>4</v>
      </c>
      <c r="BD34" t="s">
        <v>636</v>
      </c>
      <c r="BE34">
        <f>VLOOKUP(BD34,Metric_Codes!$C$91:$D$95,2,FALSE)</f>
        <v>5</v>
      </c>
      <c r="BF34">
        <f t="shared" si="0"/>
        <v>4.5</v>
      </c>
      <c r="BG34" t="s">
        <v>814</v>
      </c>
      <c r="BH34" t="s">
        <v>1050</v>
      </c>
      <c r="BI34">
        <v>12</v>
      </c>
      <c r="BJ34" t="s">
        <v>1019</v>
      </c>
    </row>
    <row r="35" spans="1:62" x14ac:dyDescent="0.2">
      <c r="A35">
        <v>34</v>
      </c>
      <c r="B35" t="s">
        <v>677</v>
      </c>
      <c r="C35" t="s">
        <v>226</v>
      </c>
      <c r="D35" t="s">
        <v>227</v>
      </c>
      <c r="E35" t="s">
        <v>638</v>
      </c>
      <c r="F35" t="s">
        <v>678</v>
      </c>
      <c r="G35" t="s">
        <v>1158</v>
      </c>
      <c r="H35">
        <v>1954</v>
      </c>
      <c r="I35" t="s">
        <v>1043</v>
      </c>
      <c r="J35" t="s">
        <v>1064</v>
      </c>
      <c r="K35" t="s">
        <v>868</v>
      </c>
      <c r="L35" t="s">
        <v>1040</v>
      </c>
      <c r="M35">
        <v>21906903</v>
      </c>
      <c r="N35" t="s">
        <v>41</v>
      </c>
      <c r="O35" t="s">
        <v>1185</v>
      </c>
      <c r="P35">
        <v>51.1</v>
      </c>
      <c r="Q35" t="s">
        <v>37</v>
      </c>
      <c r="R35" s="17" t="s">
        <v>1503</v>
      </c>
      <c r="S35">
        <v>0.1148</v>
      </c>
      <c r="T35">
        <v>191.68</v>
      </c>
      <c r="U35">
        <v>7390</v>
      </c>
      <c r="V35">
        <v>0.70699999999999996</v>
      </c>
      <c r="W35">
        <v>40</v>
      </c>
      <c r="X35">
        <v>28</v>
      </c>
      <c r="Y35" t="s">
        <v>936</v>
      </c>
      <c r="Z35" t="s">
        <v>601</v>
      </c>
      <c r="AB35">
        <v>2150</v>
      </c>
      <c r="AF35" t="s">
        <v>12</v>
      </c>
      <c r="AG35"/>
      <c r="AK35" t="s">
        <v>4</v>
      </c>
      <c r="AL35" t="s">
        <v>1052</v>
      </c>
      <c r="AM35" t="s">
        <v>47</v>
      </c>
      <c r="AN35" t="s">
        <v>831</v>
      </c>
      <c r="AO35" t="s">
        <v>5</v>
      </c>
      <c r="AP35" t="s">
        <v>1141</v>
      </c>
      <c r="AQ35" t="s">
        <v>6</v>
      </c>
      <c r="AR35" t="s">
        <v>623</v>
      </c>
      <c r="AS35" t="s">
        <v>1023</v>
      </c>
      <c r="AT35" t="s">
        <v>629</v>
      </c>
      <c r="AU35" t="s">
        <v>845</v>
      </c>
      <c r="AV35">
        <v>9</v>
      </c>
      <c r="AW35" t="s">
        <v>7</v>
      </c>
      <c r="AX35">
        <f>VLOOKUP(AW35,Metric_Codes!$C$91:$D$95,2,FALSE)</f>
        <v>3</v>
      </c>
      <c r="AY35" t="s">
        <v>32</v>
      </c>
      <c r="AZ35" t="s">
        <v>22</v>
      </c>
      <c r="BA35">
        <v>18</v>
      </c>
      <c r="BB35" t="s">
        <v>7</v>
      </c>
      <c r="BC35">
        <f>VLOOKUP(BB35,Metric_Codes!$C$91:$D$95,2,FALSE)</f>
        <v>3</v>
      </c>
      <c r="BD35" t="s">
        <v>7</v>
      </c>
      <c r="BE35">
        <f>VLOOKUP(BD35,Metric_Codes!$C$91:$D$95,2,FALSE)</f>
        <v>3</v>
      </c>
      <c r="BF35">
        <f t="shared" si="0"/>
        <v>3</v>
      </c>
      <c r="BG35" t="s">
        <v>32</v>
      </c>
      <c r="BH35" t="s">
        <v>1037</v>
      </c>
      <c r="BI35">
        <v>2</v>
      </c>
      <c r="BJ35" t="s">
        <v>862</v>
      </c>
    </row>
    <row r="36" spans="1:62" x14ac:dyDescent="0.2">
      <c r="A36">
        <v>35</v>
      </c>
      <c r="B36" t="s">
        <v>679</v>
      </c>
      <c r="C36" t="s">
        <v>403</v>
      </c>
      <c r="D36" t="s">
        <v>404</v>
      </c>
      <c r="E36" t="s">
        <v>638</v>
      </c>
      <c r="F36" t="s">
        <v>678</v>
      </c>
      <c r="G36" t="s">
        <v>1158</v>
      </c>
      <c r="H36">
        <v>1962</v>
      </c>
      <c r="I36" t="s">
        <v>1121</v>
      </c>
      <c r="J36" t="s">
        <v>1063</v>
      </c>
      <c r="K36" t="s">
        <v>863</v>
      </c>
      <c r="L36" t="s">
        <v>1040</v>
      </c>
      <c r="M36">
        <v>31023366</v>
      </c>
      <c r="N36" t="s">
        <v>64</v>
      </c>
      <c r="O36" t="s">
        <v>1154</v>
      </c>
      <c r="P36">
        <v>65.7</v>
      </c>
      <c r="Q36" t="s">
        <v>47</v>
      </c>
      <c r="R36" s="17" t="s">
        <v>1503</v>
      </c>
      <c r="S36">
        <v>9.9500000000000005E-2</v>
      </c>
      <c r="T36">
        <v>520.21</v>
      </c>
      <c r="U36">
        <v>13530</v>
      </c>
      <c r="V36">
        <v>0.754</v>
      </c>
      <c r="W36">
        <v>36.200000000000003</v>
      </c>
      <c r="X36">
        <v>58</v>
      </c>
      <c r="Y36" t="s">
        <v>937</v>
      </c>
      <c r="Z36" t="s">
        <v>599</v>
      </c>
      <c r="AA36">
        <v>80000</v>
      </c>
      <c r="AB36">
        <v>815</v>
      </c>
      <c r="AF36" t="s">
        <v>12</v>
      </c>
      <c r="AK36" t="s">
        <v>4</v>
      </c>
      <c r="AL36" t="s">
        <v>600</v>
      </c>
      <c r="AM36" t="s">
        <v>47</v>
      </c>
      <c r="AN36" t="s">
        <v>835</v>
      </c>
      <c r="AO36" t="s">
        <v>5</v>
      </c>
      <c r="AP36" t="s">
        <v>1141</v>
      </c>
      <c r="AQ36" t="s">
        <v>9</v>
      </c>
      <c r="AR36" t="s">
        <v>624</v>
      </c>
      <c r="AS36" t="s">
        <v>1030</v>
      </c>
      <c r="AT36" t="s">
        <v>846</v>
      </c>
      <c r="AU36" t="s">
        <v>845</v>
      </c>
      <c r="AV36">
        <v>9</v>
      </c>
      <c r="AW36" t="s">
        <v>11</v>
      </c>
      <c r="AX36">
        <f>VLOOKUP(AW36,Metric_Codes!$C$91:$D$95,2,FALSE)</f>
        <v>4</v>
      </c>
      <c r="AY36" t="s">
        <v>32</v>
      </c>
      <c r="AZ36" t="s">
        <v>22</v>
      </c>
      <c r="BA36">
        <v>18</v>
      </c>
      <c r="BB36" t="s">
        <v>11</v>
      </c>
      <c r="BC36">
        <f>VLOOKUP(BB36,Metric_Codes!$C$91:$D$95,2,FALSE)</f>
        <v>4</v>
      </c>
      <c r="BD36" t="s">
        <v>11</v>
      </c>
      <c r="BE36">
        <f>VLOOKUP(BD36,Metric_Codes!$C$91:$D$95,2,FALSE)</f>
        <v>4</v>
      </c>
      <c r="BF36">
        <f t="shared" si="0"/>
        <v>4</v>
      </c>
      <c r="BG36" t="s">
        <v>32</v>
      </c>
      <c r="BH36" t="s">
        <v>1051</v>
      </c>
      <c r="BI36">
        <v>4</v>
      </c>
      <c r="BJ36" t="s">
        <v>864</v>
      </c>
    </row>
    <row r="37" spans="1:62" x14ac:dyDescent="0.2">
      <c r="A37">
        <v>36</v>
      </c>
      <c r="B37" t="s">
        <v>680</v>
      </c>
      <c r="C37" t="s">
        <v>236</v>
      </c>
      <c r="D37" t="s">
        <v>237</v>
      </c>
      <c r="E37" t="s">
        <v>638</v>
      </c>
      <c r="F37" t="s">
        <v>639</v>
      </c>
      <c r="G37" t="s">
        <v>1158</v>
      </c>
      <c r="H37">
        <v>1963</v>
      </c>
      <c r="I37" t="s">
        <v>1117</v>
      </c>
      <c r="J37" t="s">
        <v>1063</v>
      </c>
      <c r="K37" t="s">
        <v>865</v>
      </c>
      <c r="L37" t="s">
        <v>1040</v>
      </c>
      <c r="M37">
        <v>51252000</v>
      </c>
      <c r="N37" t="s">
        <v>64</v>
      </c>
      <c r="O37" t="s">
        <v>1177</v>
      </c>
      <c r="P37">
        <v>62.2</v>
      </c>
      <c r="Q37" t="s">
        <v>47</v>
      </c>
      <c r="R37" s="17" t="s">
        <v>1503</v>
      </c>
      <c r="S37">
        <v>6.2E-2</v>
      </c>
      <c r="T37">
        <v>1126.02</v>
      </c>
      <c r="U37">
        <v>18330</v>
      </c>
      <c r="V37">
        <v>0.77100000000000002</v>
      </c>
      <c r="W37">
        <v>35.4</v>
      </c>
      <c r="X37">
        <v>52</v>
      </c>
      <c r="Y37" t="s">
        <v>938</v>
      </c>
      <c r="Z37" t="s">
        <v>14</v>
      </c>
      <c r="AA37">
        <v>2000000</v>
      </c>
      <c r="AB37">
        <v>1917</v>
      </c>
      <c r="AC37">
        <v>1300000</v>
      </c>
      <c r="AD37">
        <v>1300000</v>
      </c>
      <c r="AE37" s="17">
        <v>2.5364863810192772E-2</v>
      </c>
      <c r="AF37" t="s">
        <v>15</v>
      </c>
      <c r="AJ37" t="s">
        <v>23</v>
      </c>
      <c r="AK37" t="s">
        <v>8</v>
      </c>
      <c r="AL37" t="s">
        <v>1052</v>
      </c>
      <c r="AM37" t="s">
        <v>47</v>
      </c>
      <c r="AN37" t="s">
        <v>834</v>
      </c>
      <c r="AO37" t="s">
        <v>5</v>
      </c>
      <c r="AP37" t="s">
        <v>1140</v>
      </c>
      <c r="AQ37" t="s">
        <v>6</v>
      </c>
      <c r="AR37" t="s">
        <v>623</v>
      </c>
      <c r="AS37" t="s">
        <v>1030</v>
      </c>
      <c r="AT37" t="s">
        <v>627</v>
      </c>
      <c r="AU37" t="s">
        <v>816</v>
      </c>
      <c r="AV37">
        <v>96</v>
      </c>
      <c r="AW37" t="s">
        <v>11</v>
      </c>
      <c r="AX37">
        <f>VLOOKUP(AW37,Metric_Codes!$C$91:$D$95,2,FALSE)</f>
        <v>4</v>
      </c>
      <c r="AY37" t="s">
        <v>32</v>
      </c>
      <c r="BB37" t="s">
        <v>635</v>
      </c>
      <c r="BC37">
        <f>VLOOKUP(BB37,Metric_Codes!$C$91:$D$95,2,FALSE)</f>
        <v>2</v>
      </c>
      <c r="BD37" t="s">
        <v>636</v>
      </c>
      <c r="BE37">
        <f>VLOOKUP(BD37,Metric_Codes!$C$91:$D$95,2,FALSE)</f>
        <v>5</v>
      </c>
      <c r="BF37">
        <f t="shared" si="0"/>
        <v>3.5</v>
      </c>
      <c r="BG37" t="s">
        <v>814</v>
      </c>
      <c r="BH37" t="s">
        <v>1037</v>
      </c>
      <c r="BI37">
        <v>8</v>
      </c>
      <c r="BJ37" t="s">
        <v>866</v>
      </c>
    </row>
    <row r="38" spans="1:62" x14ac:dyDescent="0.2">
      <c r="A38">
        <v>37</v>
      </c>
      <c r="B38" t="s">
        <v>681</v>
      </c>
      <c r="C38" t="s">
        <v>242</v>
      </c>
      <c r="D38" t="s">
        <v>243</v>
      </c>
      <c r="E38" t="s">
        <v>638</v>
      </c>
      <c r="F38" t="s">
        <v>678</v>
      </c>
      <c r="G38" t="s">
        <v>1158</v>
      </c>
      <c r="H38">
        <v>1966</v>
      </c>
      <c r="I38" t="s">
        <v>1118</v>
      </c>
      <c r="J38" t="s">
        <v>1064</v>
      </c>
      <c r="K38" t="s">
        <v>867</v>
      </c>
      <c r="L38" t="s">
        <v>1040</v>
      </c>
      <c r="M38">
        <v>1265806</v>
      </c>
      <c r="N38" t="s">
        <v>33</v>
      </c>
      <c r="O38" t="s">
        <v>1177</v>
      </c>
      <c r="P38">
        <v>66.5</v>
      </c>
      <c r="Q38" t="s">
        <v>37</v>
      </c>
      <c r="R38" s="17" t="s">
        <v>1503</v>
      </c>
      <c r="S38">
        <v>0.24310000000000001</v>
      </c>
      <c r="T38">
        <v>519.89</v>
      </c>
      <c r="U38">
        <v>3850</v>
      </c>
      <c r="V38">
        <v>0.61699999999999999</v>
      </c>
      <c r="W38">
        <v>33.700000000000003</v>
      </c>
      <c r="X38">
        <v>49</v>
      </c>
      <c r="Y38" s="12">
        <v>0</v>
      </c>
      <c r="Z38" t="s">
        <v>601</v>
      </c>
      <c r="AA38">
        <v>1400</v>
      </c>
      <c r="AB38">
        <v>259</v>
      </c>
      <c r="AC38">
        <v>2500</v>
      </c>
      <c r="AD38">
        <v>5792</v>
      </c>
      <c r="AE38" s="17">
        <v>4.5757406743213418E-3</v>
      </c>
      <c r="AF38" t="s">
        <v>12</v>
      </c>
      <c r="AG38"/>
      <c r="AK38" t="s">
        <v>4</v>
      </c>
      <c r="AL38" t="s">
        <v>1052</v>
      </c>
      <c r="AM38" t="s">
        <v>47</v>
      </c>
      <c r="AN38" t="s">
        <v>831</v>
      </c>
      <c r="AO38" t="s">
        <v>5</v>
      </c>
      <c r="AP38" t="s">
        <v>1141</v>
      </c>
      <c r="AQ38" t="s">
        <v>6</v>
      </c>
      <c r="AR38" t="s">
        <v>623</v>
      </c>
      <c r="AS38" t="s">
        <v>1022</v>
      </c>
      <c r="AT38" t="s">
        <v>629</v>
      </c>
      <c r="AU38" t="s">
        <v>845</v>
      </c>
      <c r="AV38">
        <v>9</v>
      </c>
      <c r="AW38" t="s">
        <v>7</v>
      </c>
      <c r="AX38">
        <f>VLOOKUP(AW38,Metric_Codes!$C$91:$D$95,2,FALSE)</f>
        <v>3</v>
      </c>
      <c r="AY38" t="s">
        <v>32</v>
      </c>
      <c r="AZ38" t="s">
        <v>22</v>
      </c>
      <c r="BA38">
        <v>18</v>
      </c>
      <c r="BB38" t="s">
        <v>7</v>
      </c>
      <c r="BC38">
        <f>VLOOKUP(BB38,Metric_Codes!$C$91:$D$95,2,FALSE)</f>
        <v>3</v>
      </c>
      <c r="BD38" t="s">
        <v>7</v>
      </c>
      <c r="BE38">
        <f>VLOOKUP(BD38,Metric_Codes!$C$91:$D$95,2,FALSE)</f>
        <v>3</v>
      </c>
      <c r="BF38">
        <f t="shared" si="0"/>
        <v>3</v>
      </c>
      <c r="BG38" t="s">
        <v>32</v>
      </c>
      <c r="BH38" t="s">
        <v>1037</v>
      </c>
      <c r="BI38">
        <v>7</v>
      </c>
      <c r="BJ38" t="s">
        <v>1375</v>
      </c>
    </row>
    <row r="39" spans="1:62" x14ac:dyDescent="0.2">
      <c r="A39">
        <v>38</v>
      </c>
      <c r="B39" t="s">
        <v>682</v>
      </c>
      <c r="C39" t="s">
        <v>359</v>
      </c>
      <c r="D39" t="s">
        <v>360</v>
      </c>
      <c r="E39" t="s">
        <v>638</v>
      </c>
      <c r="F39" t="s">
        <v>678</v>
      </c>
      <c r="G39" t="s">
        <v>1158</v>
      </c>
      <c r="H39">
        <v>1967</v>
      </c>
      <c r="I39" t="s">
        <v>1119</v>
      </c>
      <c r="J39" t="s">
        <v>1063</v>
      </c>
      <c r="K39" t="s">
        <v>1124</v>
      </c>
      <c r="L39" t="s">
        <v>1040</v>
      </c>
      <c r="M39">
        <v>8874520</v>
      </c>
      <c r="N39" t="s">
        <v>64</v>
      </c>
      <c r="O39" t="s">
        <v>1172</v>
      </c>
      <c r="P39">
        <v>65.3</v>
      </c>
      <c r="Q39" t="s">
        <v>47</v>
      </c>
      <c r="R39" s="17" t="s">
        <v>1503</v>
      </c>
      <c r="S39">
        <v>7.5399999999999995E-2</v>
      </c>
      <c r="T39">
        <v>646.82000000000005</v>
      </c>
      <c r="U39">
        <v>11770</v>
      </c>
      <c r="V39">
        <v>0.73199999999999998</v>
      </c>
      <c r="W39">
        <v>35.5</v>
      </c>
      <c r="X39">
        <v>64</v>
      </c>
      <c r="Y39" t="s">
        <v>935</v>
      </c>
      <c r="Z39" t="s">
        <v>601</v>
      </c>
      <c r="AA39">
        <v>3000</v>
      </c>
      <c r="AB39">
        <v>462</v>
      </c>
      <c r="AD39">
        <v>1100</v>
      </c>
      <c r="AE39" s="17">
        <v>1.2395036576626117E-4</v>
      </c>
      <c r="AF39" t="s">
        <v>12</v>
      </c>
      <c r="AK39" t="s">
        <v>4</v>
      </c>
      <c r="AL39" t="s">
        <v>1052</v>
      </c>
      <c r="AM39" t="s">
        <v>47</v>
      </c>
      <c r="AN39" t="s">
        <v>834</v>
      </c>
      <c r="AO39" t="s">
        <v>5</v>
      </c>
      <c r="AP39" t="s">
        <v>1141</v>
      </c>
      <c r="AQ39" t="s">
        <v>9</v>
      </c>
      <c r="AR39" t="s">
        <v>624</v>
      </c>
      <c r="AS39" t="s">
        <v>1023</v>
      </c>
      <c r="AT39" t="s">
        <v>629</v>
      </c>
      <c r="AU39" t="s">
        <v>845</v>
      </c>
      <c r="AV39">
        <v>9</v>
      </c>
      <c r="AW39" t="s">
        <v>7</v>
      </c>
      <c r="AX39">
        <f>VLOOKUP(AW39,Metric_Codes!$C$91:$D$95,2,FALSE)</f>
        <v>3</v>
      </c>
      <c r="AY39" t="s">
        <v>32</v>
      </c>
      <c r="AZ39" t="s">
        <v>845</v>
      </c>
      <c r="BA39">
        <v>9</v>
      </c>
      <c r="BB39" t="s">
        <v>7</v>
      </c>
      <c r="BC39">
        <f>VLOOKUP(BB39,Metric_Codes!$C$91:$D$95,2,FALSE)</f>
        <v>3</v>
      </c>
      <c r="BD39" t="s">
        <v>7</v>
      </c>
      <c r="BE39">
        <f>VLOOKUP(BD39,Metric_Codes!$C$91:$D$95,2,FALSE)</f>
        <v>3</v>
      </c>
      <c r="BF39">
        <f t="shared" si="0"/>
        <v>3</v>
      </c>
      <c r="BG39" t="s">
        <v>32</v>
      </c>
      <c r="BH39" t="s">
        <v>1037</v>
      </c>
      <c r="BI39">
        <v>5</v>
      </c>
      <c r="BJ39" t="s">
        <v>1020</v>
      </c>
    </row>
    <row r="40" spans="1:62" x14ac:dyDescent="0.2">
      <c r="A40">
        <v>39</v>
      </c>
      <c r="B40" t="s">
        <v>869</v>
      </c>
      <c r="C40" t="s">
        <v>253</v>
      </c>
      <c r="D40" t="s">
        <v>254</v>
      </c>
      <c r="E40" t="s">
        <v>638</v>
      </c>
      <c r="F40" t="s">
        <v>639</v>
      </c>
      <c r="G40" t="s">
        <v>1158</v>
      </c>
      <c r="H40">
        <v>1972</v>
      </c>
      <c r="I40" t="s">
        <v>1122</v>
      </c>
      <c r="J40" t="s">
        <v>1064</v>
      </c>
      <c r="K40" t="s">
        <v>1120</v>
      </c>
      <c r="L40" t="s">
        <v>1041</v>
      </c>
      <c r="M40">
        <v>33505406</v>
      </c>
      <c r="N40" t="s">
        <v>57</v>
      </c>
      <c r="O40" t="s">
        <v>1185</v>
      </c>
      <c r="P40">
        <v>72.3</v>
      </c>
      <c r="Q40" t="s">
        <v>47</v>
      </c>
      <c r="R40" s="17" t="s">
        <v>1503</v>
      </c>
      <c r="S40">
        <v>7.1499999999999994E-2</v>
      </c>
      <c r="T40">
        <v>323.60000000000002</v>
      </c>
      <c r="U40">
        <v>8260</v>
      </c>
      <c r="V40">
        <v>0.77300000000000002</v>
      </c>
      <c r="W40">
        <v>31.6</v>
      </c>
      <c r="X40">
        <v>57</v>
      </c>
      <c r="Y40" t="s">
        <v>932</v>
      </c>
      <c r="Z40" t="s">
        <v>601</v>
      </c>
      <c r="AA40">
        <v>72800</v>
      </c>
      <c r="AB40">
        <v>672</v>
      </c>
      <c r="AC40">
        <v>326000</v>
      </c>
      <c r="AD40">
        <v>1126785</v>
      </c>
      <c r="AE40" s="17">
        <v>3.3629946164508498E-2</v>
      </c>
      <c r="AF40" t="s">
        <v>12</v>
      </c>
      <c r="AK40" t="s">
        <v>4</v>
      </c>
      <c r="AL40" t="s">
        <v>1052</v>
      </c>
      <c r="AM40" t="s">
        <v>47</v>
      </c>
      <c r="AN40" t="s">
        <v>836</v>
      </c>
      <c r="AO40" t="s">
        <v>5</v>
      </c>
      <c r="AP40" t="s">
        <v>1142</v>
      </c>
      <c r="AQ40" t="s">
        <v>6</v>
      </c>
      <c r="AR40" t="s">
        <v>623</v>
      </c>
      <c r="AS40" t="s">
        <v>1023</v>
      </c>
      <c r="AT40" t="s">
        <v>629</v>
      </c>
      <c r="AU40" t="s">
        <v>13</v>
      </c>
      <c r="AV40">
        <v>3</v>
      </c>
      <c r="AW40" t="s">
        <v>7</v>
      </c>
      <c r="AX40">
        <f>VLOOKUP(AW40,Metric_Codes!$C$91:$D$95,2,FALSE)</f>
        <v>3</v>
      </c>
      <c r="AY40" t="s">
        <v>32</v>
      </c>
      <c r="AZ40" t="s">
        <v>845</v>
      </c>
      <c r="BA40">
        <v>6</v>
      </c>
      <c r="BB40" t="s">
        <v>7</v>
      </c>
      <c r="BC40">
        <f>VLOOKUP(BB40,Metric_Codes!$C$91:$D$95,2,FALSE)</f>
        <v>3</v>
      </c>
      <c r="BD40" t="s">
        <v>7</v>
      </c>
      <c r="BE40">
        <f>VLOOKUP(BD40,Metric_Codes!$C$91:$D$95,2,FALSE)</f>
        <v>3</v>
      </c>
      <c r="BF40">
        <f t="shared" si="0"/>
        <v>3</v>
      </c>
      <c r="BG40" t="s">
        <v>32</v>
      </c>
      <c r="BH40" t="s">
        <v>1037</v>
      </c>
      <c r="BI40">
        <v>6</v>
      </c>
      <c r="BJ40" t="s">
        <v>1027</v>
      </c>
    </row>
    <row r="41" spans="1:62" x14ac:dyDescent="0.2">
      <c r="A41">
        <v>40</v>
      </c>
      <c r="B41" t="s">
        <v>683</v>
      </c>
      <c r="C41" t="s">
        <v>74</v>
      </c>
      <c r="D41" t="s">
        <v>75</v>
      </c>
      <c r="E41" t="s">
        <v>638</v>
      </c>
      <c r="F41" t="s">
        <v>639</v>
      </c>
      <c r="G41" t="s">
        <v>1158</v>
      </c>
      <c r="H41">
        <v>1974</v>
      </c>
      <c r="I41" t="s">
        <v>1123</v>
      </c>
      <c r="J41" t="s">
        <v>1064</v>
      </c>
      <c r="K41" t="s">
        <v>1135</v>
      </c>
      <c r="L41" t="s">
        <v>516</v>
      </c>
      <c r="M41">
        <v>69884420</v>
      </c>
      <c r="N41" t="s">
        <v>33</v>
      </c>
      <c r="O41" t="s">
        <v>1185</v>
      </c>
      <c r="P41">
        <v>55.6</v>
      </c>
      <c r="Q41" t="s">
        <v>51</v>
      </c>
      <c r="R41" s="17" t="s">
        <v>1503</v>
      </c>
      <c r="S41">
        <v>9.5899999999999999E-2</v>
      </c>
      <c r="T41">
        <v>179</v>
      </c>
      <c r="U41">
        <v>850</v>
      </c>
      <c r="V41">
        <v>0.46200000000000002</v>
      </c>
      <c r="W41">
        <v>32.4</v>
      </c>
      <c r="X41">
        <v>26</v>
      </c>
      <c r="Y41" s="12">
        <v>0</v>
      </c>
      <c r="Z41" t="s">
        <v>1</v>
      </c>
      <c r="AA41">
        <v>579200</v>
      </c>
      <c r="AB41">
        <v>28700</v>
      </c>
      <c r="AC41">
        <v>2000000</v>
      </c>
      <c r="AD41">
        <v>38000000</v>
      </c>
      <c r="AE41" s="17">
        <v>0.54375495997534218</v>
      </c>
      <c r="AF41" t="s">
        <v>18</v>
      </c>
      <c r="AG41"/>
      <c r="AJ41" t="s">
        <v>3</v>
      </c>
      <c r="AK41" t="s">
        <v>24</v>
      </c>
      <c r="AL41" t="s">
        <v>1052</v>
      </c>
      <c r="AM41" t="s">
        <v>47</v>
      </c>
      <c r="AN41" t="s">
        <v>832</v>
      </c>
      <c r="AO41" t="s">
        <v>5</v>
      </c>
      <c r="AP41" t="s">
        <v>1141</v>
      </c>
      <c r="AQ41" t="s">
        <v>6</v>
      </c>
      <c r="AR41" t="s">
        <v>622</v>
      </c>
      <c r="AS41" t="s">
        <v>1022</v>
      </c>
      <c r="AT41" t="s">
        <v>629</v>
      </c>
      <c r="AU41" t="s">
        <v>10</v>
      </c>
      <c r="AV41">
        <v>48</v>
      </c>
      <c r="AW41" t="s">
        <v>635</v>
      </c>
      <c r="AX41">
        <f>VLOOKUP(AW41,Metric_Codes!$C$91:$D$95,2,FALSE)</f>
        <v>2</v>
      </c>
      <c r="AY41" t="s">
        <v>32</v>
      </c>
      <c r="AZ41" t="s">
        <v>845</v>
      </c>
      <c r="BA41">
        <v>9</v>
      </c>
      <c r="BB41" t="s">
        <v>7</v>
      </c>
      <c r="BC41">
        <f>VLOOKUP(BB41,Metric_Codes!$C$91:$D$95,2,FALSE)</f>
        <v>3</v>
      </c>
      <c r="BD41" t="s">
        <v>7</v>
      </c>
      <c r="BE41">
        <f>VLOOKUP(BD41,Metric_Codes!$C$91:$D$95,2,FALSE)</f>
        <v>3</v>
      </c>
      <c r="BF41">
        <f t="shared" si="0"/>
        <v>3</v>
      </c>
      <c r="BG41" t="s">
        <v>32</v>
      </c>
      <c r="BH41" t="s">
        <v>1037</v>
      </c>
      <c r="BI41">
        <v>11</v>
      </c>
      <c r="BJ41" t="s">
        <v>872</v>
      </c>
    </row>
    <row r="42" spans="1:62" x14ac:dyDescent="0.2">
      <c r="A42">
        <v>41</v>
      </c>
      <c r="B42" t="s">
        <v>684</v>
      </c>
      <c r="C42" t="s">
        <v>97</v>
      </c>
      <c r="D42" t="s">
        <v>98</v>
      </c>
      <c r="E42" t="s">
        <v>638</v>
      </c>
      <c r="F42" t="s">
        <v>639</v>
      </c>
      <c r="G42" t="s">
        <v>1158</v>
      </c>
      <c r="H42">
        <v>1988</v>
      </c>
      <c r="I42" t="s">
        <v>1126</v>
      </c>
      <c r="J42" t="s">
        <v>1064</v>
      </c>
      <c r="K42" t="s">
        <v>1125</v>
      </c>
      <c r="L42" t="s">
        <v>1041</v>
      </c>
      <c r="M42">
        <v>144001542</v>
      </c>
      <c r="N42" t="s">
        <v>67</v>
      </c>
      <c r="O42" t="s">
        <v>1172</v>
      </c>
      <c r="P42">
        <v>51.9</v>
      </c>
      <c r="Q42" t="s">
        <v>37</v>
      </c>
      <c r="R42" s="17" t="s">
        <v>1505</v>
      </c>
      <c r="S42">
        <v>-1E-3</v>
      </c>
      <c r="T42">
        <v>2294.4</v>
      </c>
      <c r="U42">
        <v>6510</v>
      </c>
      <c r="V42">
        <v>0.57799999999999996</v>
      </c>
      <c r="W42">
        <v>53.3</v>
      </c>
      <c r="X42">
        <v>35</v>
      </c>
      <c r="Y42" s="12">
        <v>8.0784749999999999E-3</v>
      </c>
      <c r="Z42" t="s">
        <v>599</v>
      </c>
      <c r="AA42">
        <v>935000</v>
      </c>
      <c r="AB42">
        <v>289</v>
      </c>
      <c r="AC42">
        <v>18560</v>
      </c>
      <c r="AD42">
        <v>3020734</v>
      </c>
      <c r="AE42" s="17">
        <v>2.0977094814720803E-2</v>
      </c>
      <c r="AF42" t="s">
        <v>12</v>
      </c>
      <c r="AG42">
        <v>225000</v>
      </c>
      <c r="AH42">
        <v>175000</v>
      </c>
      <c r="AK42" t="s">
        <v>4</v>
      </c>
      <c r="AL42" t="s">
        <v>1052</v>
      </c>
      <c r="AM42" t="s">
        <v>47</v>
      </c>
      <c r="AN42" t="s">
        <v>834</v>
      </c>
      <c r="AO42" t="s">
        <v>5</v>
      </c>
      <c r="AP42" t="s">
        <v>1141</v>
      </c>
      <c r="AQ42" t="s">
        <v>6</v>
      </c>
      <c r="AR42" t="s">
        <v>623</v>
      </c>
      <c r="AS42" t="s">
        <v>1023</v>
      </c>
      <c r="AT42" t="s">
        <v>629</v>
      </c>
      <c r="AU42" t="s">
        <v>845</v>
      </c>
      <c r="AV42">
        <v>9</v>
      </c>
      <c r="AW42" t="s">
        <v>7</v>
      </c>
      <c r="AX42">
        <f>VLOOKUP(AW42,Metric_Codes!$C$91:$D$95,2,FALSE)</f>
        <v>3</v>
      </c>
      <c r="AY42" t="s">
        <v>32</v>
      </c>
      <c r="AZ42" t="s">
        <v>10</v>
      </c>
      <c r="BA42">
        <v>36</v>
      </c>
      <c r="BB42" t="s">
        <v>7</v>
      </c>
      <c r="BC42">
        <f>VLOOKUP(BB42,Metric_Codes!$C$91:$D$95,2,FALSE)</f>
        <v>3</v>
      </c>
      <c r="BD42" t="s">
        <v>11</v>
      </c>
      <c r="BE42">
        <f>VLOOKUP(BD42,Metric_Codes!$C$91:$D$95,2,FALSE)</f>
        <v>4</v>
      </c>
      <c r="BF42">
        <f t="shared" si="0"/>
        <v>3.5</v>
      </c>
      <c r="BG42" t="s">
        <v>32</v>
      </c>
      <c r="BH42" t="s">
        <v>1037</v>
      </c>
      <c r="BI42">
        <v>3</v>
      </c>
      <c r="BJ42" t="s">
        <v>873</v>
      </c>
    </row>
    <row r="43" spans="1:62" x14ac:dyDescent="0.2">
      <c r="A43">
        <v>42</v>
      </c>
      <c r="B43" t="s">
        <v>685</v>
      </c>
      <c r="C43" t="s">
        <v>285</v>
      </c>
      <c r="D43" t="s">
        <v>286</v>
      </c>
      <c r="E43" t="s">
        <v>638</v>
      </c>
      <c r="F43" t="s">
        <v>678</v>
      </c>
      <c r="G43" t="s">
        <v>1158</v>
      </c>
      <c r="H43">
        <v>1991</v>
      </c>
      <c r="I43" t="s">
        <v>1043</v>
      </c>
      <c r="J43" t="s">
        <v>1063</v>
      </c>
      <c r="K43" t="s">
        <v>874</v>
      </c>
      <c r="L43" t="s">
        <v>1040</v>
      </c>
      <c r="M43">
        <v>9641153</v>
      </c>
      <c r="N43" t="s">
        <v>33</v>
      </c>
      <c r="O43" t="s">
        <v>1154</v>
      </c>
      <c r="P43">
        <v>51.4</v>
      </c>
      <c r="Q43" t="s">
        <v>32</v>
      </c>
      <c r="R43" s="17" t="s">
        <v>1503</v>
      </c>
      <c r="S43">
        <v>8.6999999999999994E-2</v>
      </c>
      <c r="T43">
        <v>228.6</v>
      </c>
      <c r="U43">
        <v>520</v>
      </c>
      <c r="V43">
        <v>0.33200000000000002</v>
      </c>
      <c r="W43">
        <v>44.7</v>
      </c>
      <c r="X43">
        <v>32</v>
      </c>
      <c r="Y43" s="12">
        <v>0</v>
      </c>
      <c r="Z43" t="s">
        <v>599</v>
      </c>
      <c r="AA43">
        <v>24000</v>
      </c>
      <c r="AB43">
        <v>472</v>
      </c>
      <c r="AC43">
        <v>150000</v>
      </c>
      <c r="AD43">
        <v>150000</v>
      </c>
      <c r="AE43" s="17">
        <v>1.5558305111432212E-2</v>
      </c>
      <c r="AF43" t="s">
        <v>12</v>
      </c>
      <c r="AG43"/>
      <c r="AH43">
        <v>2296</v>
      </c>
      <c r="AK43" t="s">
        <v>4</v>
      </c>
      <c r="AL43" t="s">
        <v>1052</v>
      </c>
      <c r="AM43" t="s">
        <v>47</v>
      </c>
      <c r="AN43" t="s">
        <v>832</v>
      </c>
      <c r="AO43" t="s">
        <v>5</v>
      </c>
      <c r="AP43" t="s">
        <v>1141</v>
      </c>
      <c r="AQ43" t="s">
        <v>6</v>
      </c>
      <c r="AR43" t="s">
        <v>623</v>
      </c>
      <c r="AS43" t="s">
        <v>1022</v>
      </c>
      <c r="AT43" t="s">
        <v>629</v>
      </c>
      <c r="AU43" t="s">
        <v>845</v>
      </c>
      <c r="AV43">
        <v>9</v>
      </c>
      <c r="AW43" t="s">
        <v>7</v>
      </c>
      <c r="AX43">
        <f>VLOOKUP(AW43,Metric_Codes!$C$91:$D$95,2,FALSE)</f>
        <v>3</v>
      </c>
      <c r="AY43" t="s">
        <v>32</v>
      </c>
      <c r="AZ43" t="s">
        <v>22</v>
      </c>
      <c r="BA43">
        <v>18</v>
      </c>
      <c r="BB43" t="s">
        <v>7</v>
      </c>
      <c r="BC43">
        <f>VLOOKUP(BB43,Metric_Codes!$C$91:$D$95,2,FALSE)</f>
        <v>3</v>
      </c>
      <c r="BD43" t="s">
        <v>7</v>
      </c>
      <c r="BE43">
        <f>VLOOKUP(BD43,Metric_Codes!$C$91:$D$95,2,FALSE)</f>
        <v>3</v>
      </c>
      <c r="BF43">
        <f t="shared" si="0"/>
        <v>3</v>
      </c>
      <c r="BG43" t="s">
        <v>32</v>
      </c>
      <c r="BH43" t="s">
        <v>1037</v>
      </c>
      <c r="BI43">
        <v>9</v>
      </c>
      <c r="BJ43" t="s">
        <v>1374</v>
      </c>
    </row>
    <row r="44" spans="1:62" x14ac:dyDescent="0.2">
      <c r="A44">
        <v>43</v>
      </c>
      <c r="B44" t="s">
        <v>686</v>
      </c>
      <c r="C44" t="s">
        <v>461</v>
      </c>
      <c r="D44" t="s">
        <v>462</v>
      </c>
      <c r="E44" t="s">
        <v>638</v>
      </c>
      <c r="F44" t="s">
        <v>639</v>
      </c>
      <c r="G44" t="s">
        <v>1158</v>
      </c>
      <c r="H44">
        <v>1993</v>
      </c>
      <c r="I44" t="s">
        <v>1127</v>
      </c>
      <c r="J44" t="s">
        <v>1063</v>
      </c>
      <c r="K44" t="s">
        <v>1132</v>
      </c>
      <c r="L44" t="s">
        <v>1041</v>
      </c>
      <c r="M44">
        <v>259919000</v>
      </c>
      <c r="N44" t="s">
        <v>64</v>
      </c>
      <c r="O44" t="s">
        <v>1172</v>
      </c>
      <c r="P44">
        <v>76.8</v>
      </c>
      <c r="Q44" t="s">
        <v>47</v>
      </c>
      <c r="R44" s="17" t="s">
        <v>1503</v>
      </c>
      <c r="S44">
        <v>2.7E-2</v>
      </c>
      <c r="T44">
        <v>26464.9</v>
      </c>
      <c r="U44">
        <v>26000</v>
      </c>
      <c r="V44">
        <v>0.79700000000000004</v>
      </c>
      <c r="W44">
        <v>41.5</v>
      </c>
      <c r="X44">
        <v>71</v>
      </c>
      <c r="Y44" s="12">
        <v>4.913344E-2</v>
      </c>
      <c r="Z44" t="s">
        <v>1</v>
      </c>
      <c r="AA44">
        <v>12000000</v>
      </c>
      <c r="AB44">
        <v>48</v>
      </c>
      <c r="AD44">
        <v>31000</v>
      </c>
      <c r="AE44" s="17">
        <v>1.1926792577687664E-4</v>
      </c>
      <c r="AF44" t="s">
        <v>12</v>
      </c>
      <c r="AG44" s="13">
        <v>1140000</v>
      </c>
      <c r="AI44" s="13">
        <v>1000000</v>
      </c>
      <c r="AJ44" t="s">
        <v>3</v>
      </c>
      <c r="AK44" t="s">
        <v>4</v>
      </c>
      <c r="AL44" t="s">
        <v>600</v>
      </c>
      <c r="AM44" t="s">
        <v>47</v>
      </c>
      <c r="AN44" t="s">
        <v>835</v>
      </c>
      <c r="AO44" t="s">
        <v>5</v>
      </c>
      <c r="AP44" t="s">
        <v>1142</v>
      </c>
      <c r="AQ44" t="s">
        <v>6</v>
      </c>
      <c r="AR44" t="s">
        <v>624</v>
      </c>
      <c r="AS44" t="s">
        <v>1030</v>
      </c>
      <c r="AT44" t="s">
        <v>629</v>
      </c>
      <c r="AU44" t="s">
        <v>816</v>
      </c>
      <c r="AV44">
        <v>96</v>
      </c>
      <c r="AW44" t="s">
        <v>11</v>
      </c>
      <c r="AX44">
        <f>VLOOKUP(AW44,Metric_Codes!$C$91:$D$95,2,FALSE)</f>
        <v>4</v>
      </c>
      <c r="AY44" t="s">
        <v>814</v>
      </c>
      <c r="AZ44" t="s">
        <v>10</v>
      </c>
      <c r="BA44">
        <v>48</v>
      </c>
      <c r="BB44" t="s">
        <v>7</v>
      </c>
      <c r="BC44">
        <f>VLOOKUP(BB44,Metric_Codes!$C$91:$D$95,2,FALSE)</f>
        <v>3</v>
      </c>
      <c r="BD44" t="s">
        <v>7</v>
      </c>
      <c r="BE44">
        <f>VLOOKUP(BD44,Metric_Codes!$C$91:$D$95,2,FALSE)</f>
        <v>3</v>
      </c>
      <c r="BF44">
        <f t="shared" si="0"/>
        <v>3</v>
      </c>
      <c r="BG44" t="s">
        <v>814</v>
      </c>
      <c r="BH44" t="s">
        <v>1051</v>
      </c>
      <c r="BI44">
        <v>43</v>
      </c>
      <c r="BJ44" t="s">
        <v>1021</v>
      </c>
    </row>
    <row r="45" spans="1:62" x14ac:dyDescent="0.2">
      <c r="A45">
        <v>44</v>
      </c>
      <c r="B45" t="s">
        <v>875</v>
      </c>
      <c r="C45" t="s">
        <v>251</v>
      </c>
      <c r="D45" t="s">
        <v>252</v>
      </c>
      <c r="E45" t="s">
        <v>638</v>
      </c>
      <c r="F45" t="s">
        <v>639</v>
      </c>
      <c r="G45" t="s">
        <v>1158</v>
      </c>
      <c r="H45">
        <v>1995</v>
      </c>
      <c r="I45" t="s">
        <v>1043</v>
      </c>
      <c r="J45" t="s">
        <v>1064</v>
      </c>
      <c r="K45" t="s">
        <v>1133</v>
      </c>
      <c r="L45" t="s">
        <v>1041</v>
      </c>
      <c r="M45">
        <v>21862299</v>
      </c>
      <c r="N45" t="s">
        <v>33</v>
      </c>
      <c r="O45" t="s">
        <v>1173</v>
      </c>
      <c r="P45">
        <v>5.9</v>
      </c>
      <c r="Q45" t="s">
        <v>32</v>
      </c>
      <c r="R45" s="17" t="s">
        <v>1505</v>
      </c>
      <c r="S45" t="s">
        <v>0</v>
      </c>
      <c r="T45" t="s">
        <v>0</v>
      </c>
      <c r="U45" t="s">
        <v>0</v>
      </c>
      <c r="V45" t="s">
        <v>0</v>
      </c>
      <c r="W45" t="s">
        <v>0</v>
      </c>
      <c r="X45">
        <v>14</v>
      </c>
      <c r="Y45" s="12">
        <v>2.4641420000000001E-2</v>
      </c>
      <c r="Z45" t="s">
        <v>1</v>
      </c>
      <c r="AA45">
        <v>15000000</v>
      </c>
      <c r="AB45">
        <v>68</v>
      </c>
      <c r="AC45">
        <v>500000</v>
      </c>
      <c r="AD45">
        <v>5700000</v>
      </c>
      <c r="AE45" s="17">
        <v>0.2607228087036958</v>
      </c>
      <c r="AF45" t="s">
        <v>18</v>
      </c>
      <c r="AG45"/>
      <c r="AH45">
        <v>1200</v>
      </c>
      <c r="AK45" t="s">
        <v>24</v>
      </c>
      <c r="AL45" t="s">
        <v>1052</v>
      </c>
      <c r="AM45" t="s">
        <v>47</v>
      </c>
      <c r="AN45" t="s">
        <v>831</v>
      </c>
      <c r="AO45" t="s">
        <v>5</v>
      </c>
      <c r="AP45" t="s">
        <v>1140</v>
      </c>
      <c r="AQ45" t="s">
        <v>6</v>
      </c>
      <c r="AR45" t="s">
        <v>623</v>
      </c>
      <c r="AS45" t="s">
        <v>1022</v>
      </c>
      <c r="AT45" t="s">
        <v>846</v>
      </c>
      <c r="AW45" t="s">
        <v>7</v>
      </c>
      <c r="AX45">
        <f>VLOOKUP(AW45,Metric_Codes!$C$91:$D$95,2,FALSE)</f>
        <v>3</v>
      </c>
      <c r="AY45" t="s">
        <v>32</v>
      </c>
      <c r="AZ45" t="s">
        <v>816</v>
      </c>
      <c r="BA45">
        <v>96</v>
      </c>
      <c r="BB45" t="s">
        <v>7</v>
      </c>
      <c r="BC45">
        <f>VLOOKUP(BB45,Metric_Codes!$C$91:$D$95,2,FALSE)</f>
        <v>3</v>
      </c>
      <c r="BD45" t="s">
        <v>7</v>
      </c>
      <c r="BE45">
        <f>VLOOKUP(BD45,Metric_Codes!$C$91:$D$95,2,FALSE)</f>
        <v>3</v>
      </c>
      <c r="BF45">
        <f t="shared" si="0"/>
        <v>3</v>
      </c>
      <c r="BG45" t="s">
        <v>32</v>
      </c>
      <c r="BH45" t="s">
        <v>1037</v>
      </c>
      <c r="BI45">
        <v>2</v>
      </c>
      <c r="BJ45" t="s">
        <v>876</v>
      </c>
    </row>
    <row r="46" spans="1:62" x14ac:dyDescent="0.2">
      <c r="A46">
        <v>45</v>
      </c>
      <c r="B46" t="s">
        <v>687</v>
      </c>
      <c r="C46" t="s">
        <v>469</v>
      </c>
      <c r="D46" t="s">
        <v>470</v>
      </c>
      <c r="E46" t="s">
        <v>638</v>
      </c>
      <c r="F46" t="s">
        <v>678</v>
      </c>
      <c r="G46" t="s">
        <v>1158</v>
      </c>
      <c r="H46">
        <v>1999</v>
      </c>
      <c r="I46" t="s">
        <v>1043</v>
      </c>
      <c r="J46" t="s">
        <v>1063</v>
      </c>
      <c r="K46" t="s">
        <v>1134</v>
      </c>
      <c r="L46" t="s">
        <v>1041</v>
      </c>
      <c r="M46">
        <v>24028689</v>
      </c>
      <c r="N46" t="s">
        <v>57</v>
      </c>
      <c r="O46" t="s">
        <v>1172</v>
      </c>
      <c r="P46">
        <v>25.9</v>
      </c>
      <c r="Q46" t="s">
        <v>37</v>
      </c>
      <c r="R46" s="17" t="s">
        <v>1505</v>
      </c>
      <c r="S46">
        <v>-0.06</v>
      </c>
      <c r="T46">
        <v>4077.5</v>
      </c>
      <c r="U46">
        <v>10810</v>
      </c>
      <c r="V46">
        <v>0.63600000000000001</v>
      </c>
      <c r="W46">
        <v>46.9</v>
      </c>
      <c r="X46">
        <v>18</v>
      </c>
      <c r="Y46" s="12">
        <v>1.8936189999999999E-2</v>
      </c>
      <c r="Z46" t="s">
        <v>1</v>
      </c>
      <c r="AA46">
        <v>3160000</v>
      </c>
      <c r="AB46">
        <v>30000</v>
      </c>
      <c r="AC46">
        <v>122888</v>
      </c>
      <c r="AD46">
        <v>483635</v>
      </c>
      <c r="AE46" s="17">
        <v>2.0127398544298441E-2</v>
      </c>
      <c r="AF46" t="s">
        <v>12</v>
      </c>
      <c r="AG46"/>
      <c r="AK46" t="s">
        <v>4</v>
      </c>
      <c r="AL46" t="s">
        <v>1052</v>
      </c>
      <c r="AM46" t="s">
        <v>47</v>
      </c>
      <c r="AN46" t="s">
        <v>831</v>
      </c>
      <c r="AO46" t="s">
        <v>5</v>
      </c>
      <c r="AP46" t="s">
        <v>1140</v>
      </c>
      <c r="AQ46" t="s">
        <v>6</v>
      </c>
      <c r="AR46" t="s">
        <v>624</v>
      </c>
      <c r="AS46" t="s">
        <v>1022</v>
      </c>
      <c r="AT46" t="s">
        <v>846</v>
      </c>
      <c r="AU46" t="s">
        <v>816</v>
      </c>
      <c r="AV46">
        <v>96</v>
      </c>
      <c r="AW46" t="s">
        <v>635</v>
      </c>
      <c r="AX46">
        <f>VLOOKUP(AW46,Metric_Codes!$C$91:$D$95,2,FALSE)</f>
        <v>2</v>
      </c>
      <c r="AY46" t="s">
        <v>32</v>
      </c>
      <c r="AZ46" t="s">
        <v>815</v>
      </c>
      <c r="BA46">
        <v>144</v>
      </c>
      <c r="BB46" t="s">
        <v>635</v>
      </c>
      <c r="BC46">
        <f>VLOOKUP(BB46,Metric_Codes!$C$91:$D$95,2,FALSE)</f>
        <v>2</v>
      </c>
      <c r="BD46" t="s">
        <v>7</v>
      </c>
      <c r="BE46">
        <f>VLOOKUP(BD46,Metric_Codes!$C$91:$D$95,2,FALSE)</f>
        <v>3</v>
      </c>
      <c r="BF46">
        <f t="shared" si="0"/>
        <v>2.5</v>
      </c>
      <c r="BG46" t="s">
        <v>32</v>
      </c>
      <c r="BH46" t="s">
        <v>1037</v>
      </c>
      <c r="BI46">
        <v>14</v>
      </c>
      <c r="BJ46" t="s">
        <v>877</v>
      </c>
    </row>
    <row r="47" spans="1:62" x14ac:dyDescent="0.2">
      <c r="A47">
        <v>46</v>
      </c>
      <c r="B47" t="s">
        <v>688</v>
      </c>
      <c r="C47" t="s">
        <v>62</v>
      </c>
      <c r="D47" t="s">
        <v>63</v>
      </c>
      <c r="E47" t="s">
        <v>638</v>
      </c>
      <c r="F47" t="s">
        <v>639</v>
      </c>
      <c r="G47" t="s">
        <v>1158</v>
      </c>
      <c r="H47">
        <v>2010</v>
      </c>
      <c r="I47" t="s">
        <v>1043</v>
      </c>
      <c r="J47" t="s">
        <v>1064</v>
      </c>
      <c r="K47" t="s">
        <v>870</v>
      </c>
      <c r="L47" t="s">
        <v>1041</v>
      </c>
      <c r="M47">
        <v>22031750</v>
      </c>
      <c r="N47" t="s">
        <v>64</v>
      </c>
      <c r="O47" t="s">
        <v>1173</v>
      </c>
      <c r="P47">
        <v>80.900000000000006</v>
      </c>
      <c r="Q47" t="s">
        <v>47</v>
      </c>
      <c r="R47" s="17" t="s">
        <v>1503</v>
      </c>
      <c r="S47">
        <v>2.1000000000000001E-2</v>
      </c>
      <c r="T47">
        <v>51936.9</v>
      </c>
      <c r="U47">
        <v>37750</v>
      </c>
      <c r="V47">
        <v>0.86099999999999999</v>
      </c>
      <c r="W47">
        <v>35.799999999999997</v>
      </c>
      <c r="X47">
        <v>77</v>
      </c>
      <c r="Y47" s="12">
        <v>2.172549E-2</v>
      </c>
      <c r="Z47" t="s">
        <v>601</v>
      </c>
      <c r="AA47">
        <v>7300000</v>
      </c>
      <c r="AB47">
        <v>35</v>
      </c>
      <c r="AC47">
        <v>52000</v>
      </c>
      <c r="AD47">
        <v>175000</v>
      </c>
      <c r="AE47" s="17">
        <v>7.9430821428166168E-3</v>
      </c>
      <c r="AF47" t="s">
        <v>20</v>
      </c>
      <c r="AG47" s="13">
        <v>30000</v>
      </c>
      <c r="AI47" s="13">
        <v>1500000</v>
      </c>
      <c r="AJ47" t="s">
        <v>16</v>
      </c>
      <c r="AK47" t="s">
        <v>8</v>
      </c>
      <c r="AL47" t="s">
        <v>631</v>
      </c>
      <c r="AM47" t="s">
        <v>47</v>
      </c>
      <c r="AN47" t="s">
        <v>835</v>
      </c>
      <c r="AO47" t="s">
        <v>17</v>
      </c>
      <c r="AP47" t="s">
        <v>1142</v>
      </c>
      <c r="AQ47" t="s">
        <v>9</v>
      </c>
      <c r="AR47" t="s">
        <v>624</v>
      </c>
      <c r="AS47" t="s">
        <v>1025</v>
      </c>
      <c r="AT47" t="s">
        <v>846</v>
      </c>
      <c r="AU47" t="s">
        <v>845</v>
      </c>
      <c r="AV47">
        <v>9</v>
      </c>
      <c r="AW47" t="s">
        <v>7</v>
      </c>
      <c r="AX47">
        <f>VLOOKUP(AW47,Metric_Codes!$C$91:$D$95,2,FALSE)</f>
        <v>3</v>
      </c>
      <c r="AY47" t="s">
        <v>814</v>
      </c>
      <c r="AZ47" t="s">
        <v>10</v>
      </c>
      <c r="BA47">
        <v>36</v>
      </c>
      <c r="BB47" t="s">
        <v>7</v>
      </c>
      <c r="BC47">
        <f>VLOOKUP(BB47,Metric_Codes!$C$91:$D$95,2,FALSE)</f>
        <v>3</v>
      </c>
      <c r="BD47" t="s">
        <v>7</v>
      </c>
      <c r="BE47">
        <f>VLOOKUP(BD47,Metric_Codes!$C$91:$D$95,2,FALSE)</f>
        <v>3</v>
      </c>
      <c r="BF47">
        <f t="shared" si="0"/>
        <v>3</v>
      </c>
      <c r="BG47" t="s">
        <v>814</v>
      </c>
      <c r="BH47" t="s">
        <v>1050</v>
      </c>
      <c r="BI47">
        <v>23</v>
      </c>
      <c r="BJ47" t="s">
        <v>871</v>
      </c>
    </row>
    <row r="48" spans="1:62" x14ac:dyDescent="0.2">
      <c r="A48">
        <v>47</v>
      </c>
      <c r="B48" t="s">
        <v>689</v>
      </c>
      <c r="C48" t="s">
        <v>357</v>
      </c>
      <c r="D48" t="s">
        <v>358</v>
      </c>
      <c r="E48" t="s">
        <v>638</v>
      </c>
      <c r="F48" t="s">
        <v>639</v>
      </c>
      <c r="G48" t="s">
        <v>1158</v>
      </c>
      <c r="H48">
        <v>2010</v>
      </c>
      <c r="I48" t="s">
        <v>1128</v>
      </c>
      <c r="J48" t="s">
        <v>1064</v>
      </c>
      <c r="K48" t="s">
        <v>516</v>
      </c>
      <c r="L48" t="s">
        <v>516</v>
      </c>
      <c r="M48">
        <v>38042794</v>
      </c>
      <c r="N48" t="s">
        <v>67</v>
      </c>
      <c r="O48" t="s">
        <v>1154</v>
      </c>
      <c r="P48">
        <v>67.8</v>
      </c>
      <c r="Q48" t="s">
        <v>47</v>
      </c>
      <c r="R48" s="17" t="s">
        <v>1503</v>
      </c>
      <c r="S48">
        <v>3.5999999999999997E-2</v>
      </c>
      <c r="T48">
        <v>12597.9</v>
      </c>
      <c r="U48">
        <v>20380</v>
      </c>
      <c r="V48">
        <v>0.78700000000000003</v>
      </c>
      <c r="W48">
        <v>30.8</v>
      </c>
      <c r="X48">
        <v>60</v>
      </c>
      <c r="Y48" s="12">
        <v>1.8435489999999999E-2</v>
      </c>
      <c r="Z48" t="s">
        <v>601</v>
      </c>
      <c r="AA48">
        <v>3080000</v>
      </c>
      <c r="AB48">
        <v>16</v>
      </c>
      <c r="AC48">
        <v>23000</v>
      </c>
      <c r="AD48">
        <v>100000</v>
      </c>
      <c r="AE48" s="17">
        <v>2.6286187076585386E-3</v>
      </c>
      <c r="AF48" t="s">
        <v>20</v>
      </c>
      <c r="AI48" s="13">
        <v>570000</v>
      </c>
      <c r="AJ48" t="s">
        <v>3</v>
      </c>
      <c r="AK48" t="s">
        <v>8</v>
      </c>
      <c r="AL48" t="s">
        <v>600</v>
      </c>
      <c r="AM48" t="s">
        <v>47</v>
      </c>
      <c r="AN48" t="s">
        <v>834</v>
      </c>
      <c r="AO48" t="s">
        <v>5</v>
      </c>
      <c r="AP48" t="s">
        <v>1142</v>
      </c>
      <c r="AQ48" t="s">
        <v>9</v>
      </c>
      <c r="AR48" t="s">
        <v>624</v>
      </c>
      <c r="AS48" t="s">
        <v>1030</v>
      </c>
      <c r="AT48" t="s">
        <v>846</v>
      </c>
      <c r="AU48" t="s">
        <v>845</v>
      </c>
      <c r="AV48">
        <v>9</v>
      </c>
      <c r="AW48" t="s">
        <v>7</v>
      </c>
      <c r="AX48">
        <f>VLOOKUP(AW48,Metric_Codes!$C$91:$D$95,2,FALSE)</f>
        <v>3</v>
      </c>
      <c r="AY48" t="s">
        <v>32</v>
      </c>
      <c r="AZ48" t="s">
        <v>22</v>
      </c>
      <c r="BA48">
        <v>18</v>
      </c>
      <c r="BB48" t="s">
        <v>7</v>
      </c>
      <c r="BC48">
        <f>VLOOKUP(BB48,Metric_Codes!$C$91:$D$95,2,FALSE)</f>
        <v>3</v>
      </c>
      <c r="BD48" t="s">
        <v>11</v>
      </c>
      <c r="BE48">
        <f>VLOOKUP(BD48,Metric_Codes!$C$91:$D$95,2,FALSE)</f>
        <v>4</v>
      </c>
      <c r="BF48">
        <f t="shared" si="0"/>
        <v>3.5</v>
      </c>
      <c r="BG48" t="s">
        <v>32</v>
      </c>
      <c r="BH48" t="s">
        <v>1051</v>
      </c>
      <c r="BI48">
        <v>10</v>
      </c>
      <c r="BJ48" t="s">
        <v>879</v>
      </c>
    </row>
    <row r="49" spans="1:62" x14ac:dyDescent="0.2">
      <c r="A49">
        <v>48</v>
      </c>
      <c r="B49" t="s">
        <v>690</v>
      </c>
      <c r="C49" t="s">
        <v>97</v>
      </c>
      <c r="D49" t="s">
        <v>98</v>
      </c>
      <c r="E49" t="s">
        <v>638</v>
      </c>
      <c r="F49" t="s">
        <v>639</v>
      </c>
      <c r="G49" t="s">
        <v>1158</v>
      </c>
      <c r="H49">
        <v>2011</v>
      </c>
      <c r="I49" t="s">
        <v>1043</v>
      </c>
      <c r="J49" t="s">
        <v>1064</v>
      </c>
      <c r="K49" t="s">
        <v>1129</v>
      </c>
      <c r="L49" t="s">
        <v>1041</v>
      </c>
      <c r="M49">
        <v>198686688</v>
      </c>
      <c r="N49" t="s">
        <v>67</v>
      </c>
      <c r="O49" t="s">
        <v>1172</v>
      </c>
      <c r="P49">
        <v>51.9</v>
      </c>
      <c r="Q49" t="s">
        <v>37</v>
      </c>
      <c r="R49" s="17" t="s">
        <v>1503</v>
      </c>
      <c r="S49">
        <v>0.04</v>
      </c>
      <c r="T49">
        <v>13167.5</v>
      </c>
      <c r="U49">
        <v>14580</v>
      </c>
      <c r="V49">
        <v>0.57799999999999996</v>
      </c>
      <c r="W49">
        <v>53.3</v>
      </c>
      <c r="X49">
        <v>35</v>
      </c>
      <c r="Y49" s="12">
        <v>1.479434E-2</v>
      </c>
      <c r="Z49" t="s">
        <v>599</v>
      </c>
      <c r="AA49">
        <v>1000000</v>
      </c>
      <c r="AB49">
        <v>900</v>
      </c>
      <c r="AC49">
        <v>30000</v>
      </c>
      <c r="AD49">
        <v>45000</v>
      </c>
      <c r="AE49" s="17">
        <v>2.2648724206424941E-4</v>
      </c>
      <c r="AF49" t="s">
        <v>12</v>
      </c>
      <c r="AG49">
        <v>466000</v>
      </c>
      <c r="AI49" s="13">
        <v>200000</v>
      </c>
      <c r="AJ49" t="s">
        <v>1055</v>
      </c>
      <c r="AK49" t="s">
        <v>4</v>
      </c>
      <c r="AL49" t="s">
        <v>1052</v>
      </c>
      <c r="AM49" t="s">
        <v>47</v>
      </c>
      <c r="AN49" t="s">
        <v>834</v>
      </c>
      <c r="AO49" t="s">
        <v>5</v>
      </c>
      <c r="AP49" t="s">
        <v>1141</v>
      </c>
      <c r="AQ49" t="s">
        <v>6</v>
      </c>
      <c r="AR49" t="s">
        <v>623</v>
      </c>
      <c r="AS49" t="s">
        <v>1023</v>
      </c>
      <c r="AT49" t="s">
        <v>629</v>
      </c>
      <c r="AU49" t="s">
        <v>13</v>
      </c>
      <c r="AV49">
        <v>3</v>
      </c>
      <c r="AW49" t="s">
        <v>7</v>
      </c>
      <c r="AX49">
        <f>VLOOKUP(AW49,Metric_Codes!$C$91:$D$95,2,FALSE)</f>
        <v>3</v>
      </c>
      <c r="AY49" t="s">
        <v>32</v>
      </c>
      <c r="AZ49" t="s">
        <v>22</v>
      </c>
      <c r="BA49">
        <v>18</v>
      </c>
      <c r="BB49" t="s">
        <v>7</v>
      </c>
      <c r="BC49">
        <f>VLOOKUP(BB49,Metric_Codes!$C$91:$D$95,2,FALSE)</f>
        <v>3</v>
      </c>
      <c r="BD49" t="s">
        <v>7</v>
      </c>
      <c r="BE49">
        <f>VLOOKUP(BD49,Metric_Codes!$C$91:$D$95,2,FALSE)</f>
        <v>3</v>
      </c>
      <c r="BF49">
        <f t="shared" si="0"/>
        <v>3</v>
      </c>
      <c r="BG49" t="s">
        <v>32</v>
      </c>
      <c r="BH49" t="s">
        <v>1037</v>
      </c>
      <c r="BI49">
        <v>9</v>
      </c>
      <c r="BJ49" t="s">
        <v>878</v>
      </c>
    </row>
    <row r="50" spans="1:62" x14ac:dyDescent="0.2">
      <c r="A50">
        <v>49</v>
      </c>
      <c r="B50" t="s">
        <v>691</v>
      </c>
      <c r="C50" t="s">
        <v>433</v>
      </c>
      <c r="D50" t="s">
        <v>434</v>
      </c>
      <c r="E50" t="s">
        <v>638</v>
      </c>
      <c r="F50" t="s">
        <v>639</v>
      </c>
      <c r="G50" t="s">
        <v>1158</v>
      </c>
      <c r="H50">
        <v>2011</v>
      </c>
      <c r="I50" t="s">
        <v>1130</v>
      </c>
      <c r="J50" t="s">
        <v>1063</v>
      </c>
      <c r="K50" t="s">
        <v>1131</v>
      </c>
      <c r="L50" t="s">
        <v>1041</v>
      </c>
      <c r="M50">
        <v>67530130</v>
      </c>
      <c r="N50" t="s">
        <v>57</v>
      </c>
      <c r="O50" t="s">
        <v>1154</v>
      </c>
      <c r="P50">
        <v>68.3</v>
      </c>
      <c r="Q50" t="s">
        <v>37</v>
      </c>
      <c r="R50" s="17" t="s">
        <v>1504</v>
      </c>
      <c r="S50">
        <v>8.0000000000000002E-3</v>
      </c>
      <c r="T50">
        <v>5491.2</v>
      </c>
      <c r="U50">
        <v>13210</v>
      </c>
      <c r="V50">
        <v>0.63600000000000001</v>
      </c>
      <c r="W50">
        <v>36.5</v>
      </c>
      <c r="X50">
        <v>36</v>
      </c>
      <c r="Y50" s="12">
        <v>1.4016860000000001E-2</v>
      </c>
      <c r="Z50" t="s">
        <v>1</v>
      </c>
      <c r="AA50">
        <v>45000000</v>
      </c>
      <c r="AB50">
        <v>813</v>
      </c>
      <c r="AD50">
        <v>9500000</v>
      </c>
      <c r="AE50" s="17">
        <v>0.14067794627375957</v>
      </c>
      <c r="AF50" t="s">
        <v>2</v>
      </c>
      <c r="AG50">
        <v>1600000</v>
      </c>
      <c r="AH50">
        <v>16100000</v>
      </c>
      <c r="AI50" s="13">
        <v>10800000</v>
      </c>
      <c r="AJ50" t="s">
        <v>3</v>
      </c>
      <c r="AK50" t="s">
        <v>8</v>
      </c>
      <c r="AL50" t="s">
        <v>600</v>
      </c>
      <c r="AM50" t="s">
        <v>814</v>
      </c>
      <c r="AN50" t="s">
        <v>832</v>
      </c>
      <c r="AO50" t="s">
        <v>5</v>
      </c>
      <c r="AP50" t="s">
        <v>1141</v>
      </c>
      <c r="AQ50" t="s">
        <v>6</v>
      </c>
      <c r="AR50" t="s">
        <v>623</v>
      </c>
      <c r="AS50" t="s">
        <v>1023</v>
      </c>
      <c r="AT50" t="s">
        <v>846</v>
      </c>
      <c r="AU50" t="s">
        <v>845</v>
      </c>
      <c r="AV50">
        <v>9</v>
      </c>
      <c r="AW50" t="s">
        <v>7</v>
      </c>
      <c r="AX50">
        <f>VLOOKUP(AW50,Metric_Codes!$C$91:$D$95,2,FALSE)</f>
        <v>3</v>
      </c>
      <c r="AY50" t="s">
        <v>32</v>
      </c>
      <c r="AZ50" t="s">
        <v>22</v>
      </c>
      <c r="BA50">
        <v>18</v>
      </c>
      <c r="BB50" t="s">
        <v>7</v>
      </c>
      <c r="BC50">
        <f>VLOOKUP(BB50,Metric_Codes!$C$91:$D$95,2,FALSE)</f>
        <v>3</v>
      </c>
      <c r="BD50" t="s">
        <v>11</v>
      </c>
      <c r="BE50">
        <f>VLOOKUP(BD50,Metric_Codes!$C$91:$D$95,2,FALSE)</f>
        <v>4</v>
      </c>
      <c r="BF50">
        <f t="shared" si="0"/>
        <v>3.5</v>
      </c>
      <c r="BG50" t="s">
        <v>32</v>
      </c>
      <c r="BH50" t="s">
        <v>600</v>
      </c>
      <c r="BI50">
        <v>7</v>
      </c>
      <c r="BJ50" t="s">
        <v>880</v>
      </c>
    </row>
    <row r="51" spans="1:62" x14ac:dyDescent="0.2">
      <c r="A51">
        <v>50</v>
      </c>
      <c r="B51" t="s">
        <v>692</v>
      </c>
      <c r="C51" t="s">
        <v>222</v>
      </c>
      <c r="D51" t="s">
        <v>223</v>
      </c>
      <c r="E51" t="s">
        <v>638</v>
      </c>
      <c r="F51" t="s">
        <v>639</v>
      </c>
      <c r="G51" t="s">
        <v>1158</v>
      </c>
      <c r="H51">
        <v>2013</v>
      </c>
      <c r="I51" t="s">
        <v>1043</v>
      </c>
      <c r="J51" t="s">
        <v>1063</v>
      </c>
      <c r="K51" t="s">
        <v>1136</v>
      </c>
      <c r="L51" t="s">
        <v>1041</v>
      </c>
      <c r="M51">
        <v>1278562210</v>
      </c>
      <c r="N51" t="s">
        <v>57</v>
      </c>
      <c r="O51" t="s">
        <v>1172</v>
      </c>
      <c r="P51">
        <v>55.2</v>
      </c>
      <c r="Q51" t="s">
        <v>51</v>
      </c>
      <c r="R51" s="17" t="s">
        <v>1503</v>
      </c>
      <c r="S51">
        <v>6.4</v>
      </c>
      <c r="T51">
        <v>1452.2</v>
      </c>
      <c r="U51">
        <v>5190</v>
      </c>
      <c r="V51">
        <v>0.46800000000000003</v>
      </c>
      <c r="W51">
        <v>35.700000000000003</v>
      </c>
      <c r="X51">
        <v>41</v>
      </c>
      <c r="Y51" s="12">
        <v>7.0457230000000003E-3</v>
      </c>
      <c r="Z51" t="s">
        <v>601</v>
      </c>
      <c r="AA51">
        <v>1100000</v>
      </c>
      <c r="AB51">
        <v>6054</v>
      </c>
      <c r="AD51">
        <v>504473</v>
      </c>
      <c r="AE51" s="17">
        <v>3.9456273308750459E-4</v>
      </c>
      <c r="AF51" t="s">
        <v>18</v>
      </c>
      <c r="AG51">
        <v>140000</v>
      </c>
      <c r="AJ51" t="s">
        <v>3</v>
      </c>
      <c r="AK51" t="s">
        <v>4</v>
      </c>
      <c r="AL51" t="s">
        <v>1052</v>
      </c>
      <c r="AM51" t="s">
        <v>47</v>
      </c>
      <c r="AN51" t="s">
        <v>835</v>
      </c>
      <c r="AO51" t="s">
        <v>5</v>
      </c>
      <c r="AP51" t="s">
        <v>1141</v>
      </c>
      <c r="AQ51" t="s">
        <v>6</v>
      </c>
      <c r="AR51" t="s">
        <v>623</v>
      </c>
      <c r="AS51" t="s">
        <v>1023</v>
      </c>
      <c r="AT51" t="s">
        <v>846</v>
      </c>
      <c r="AU51" t="s">
        <v>22</v>
      </c>
      <c r="AV51">
        <v>18</v>
      </c>
      <c r="AW51" t="s">
        <v>7</v>
      </c>
      <c r="AX51">
        <f>VLOOKUP(AW51,Metric_Codes!$C$91:$D$95,2,FALSE)</f>
        <v>3</v>
      </c>
      <c r="AY51" t="s">
        <v>32</v>
      </c>
      <c r="AZ51" t="s">
        <v>10</v>
      </c>
      <c r="BA51">
        <v>36</v>
      </c>
      <c r="BB51" t="s">
        <v>7</v>
      </c>
      <c r="BC51">
        <f>VLOOKUP(BB51,Metric_Codes!$C$91:$D$95,2,FALSE)</f>
        <v>3</v>
      </c>
      <c r="BD51" t="s">
        <v>7</v>
      </c>
      <c r="BE51">
        <f>VLOOKUP(BD51,Metric_Codes!$C$91:$D$95,2,FALSE)</f>
        <v>3</v>
      </c>
      <c r="BF51">
        <f t="shared" si="0"/>
        <v>3</v>
      </c>
      <c r="BG51" t="s">
        <v>32</v>
      </c>
      <c r="BH51" t="s">
        <v>1037</v>
      </c>
      <c r="BI51">
        <v>4</v>
      </c>
      <c r="BJ51" t="s">
        <v>1029</v>
      </c>
    </row>
    <row r="52" spans="1:62" x14ac:dyDescent="0.2">
      <c r="A52">
        <v>51</v>
      </c>
      <c r="B52" t="s">
        <v>693</v>
      </c>
      <c r="C52" t="s">
        <v>355</v>
      </c>
      <c r="D52" t="s">
        <v>356</v>
      </c>
      <c r="E52" t="s">
        <v>638</v>
      </c>
      <c r="F52" t="s">
        <v>639</v>
      </c>
      <c r="G52" t="s">
        <v>1158</v>
      </c>
      <c r="H52">
        <v>2013</v>
      </c>
      <c r="I52" t="s">
        <v>1043</v>
      </c>
      <c r="J52" t="s">
        <v>1063</v>
      </c>
      <c r="K52" t="s">
        <v>887</v>
      </c>
      <c r="L52" t="s">
        <v>1041</v>
      </c>
      <c r="M52">
        <v>98481032</v>
      </c>
      <c r="N52" t="s">
        <v>57</v>
      </c>
      <c r="O52" t="s">
        <v>1172</v>
      </c>
      <c r="P52">
        <v>63.8</v>
      </c>
      <c r="Q52" t="s">
        <v>51</v>
      </c>
      <c r="R52" s="17" t="s">
        <v>1503</v>
      </c>
      <c r="S52">
        <v>7.0999999999999994E-2</v>
      </c>
      <c r="T52">
        <v>2760.3</v>
      </c>
      <c r="U52">
        <v>7930</v>
      </c>
      <c r="V52">
        <v>0.57399999999999995</v>
      </c>
      <c r="W52">
        <v>40.1</v>
      </c>
      <c r="X52">
        <v>36</v>
      </c>
      <c r="Y52" s="12">
        <v>4.6404280000000003E-3</v>
      </c>
      <c r="Z52" t="s">
        <v>601</v>
      </c>
      <c r="AA52">
        <v>2190000</v>
      </c>
      <c r="AB52">
        <v>31</v>
      </c>
      <c r="AD52">
        <v>3096422</v>
      </c>
      <c r="AE52" s="17">
        <v>3.1441811048446365E-2</v>
      </c>
      <c r="AF52" t="s">
        <v>12</v>
      </c>
      <c r="AG52"/>
      <c r="AJ52" t="s">
        <v>3</v>
      </c>
      <c r="AK52" t="s">
        <v>4</v>
      </c>
      <c r="AL52" t="s">
        <v>1052</v>
      </c>
      <c r="AM52" t="s">
        <v>47</v>
      </c>
      <c r="AN52" t="s">
        <v>834</v>
      </c>
      <c r="AO52" t="s">
        <v>5</v>
      </c>
      <c r="AP52" t="s">
        <v>1142</v>
      </c>
      <c r="AQ52" t="s">
        <v>6</v>
      </c>
      <c r="AR52" t="s">
        <v>623</v>
      </c>
      <c r="AS52" t="s">
        <v>1023</v>
      </c>
      <c r="AT52" t="s">
        <v>629</v>
      </c>
      <c r="AU52" t="s">
        <v>21</v>
      </c>
      <c r="AV52">
        <v>1</v>
      </c>
      <c r="AW52" t="s">
        <v>7</v>
      </c>
      <c r="AX52">
        <f>VLOOKUP(AW52,Metric_Codes!$C$91:$D$95,2,FALSE)</f>
        <v>3</v>
      </c>
      <c r="AY52" t="s">
        <v>814</v>
      </c>
      <c r="AZ52" t="s">
        <v>21</v>
      </c>
      <c r="BA52">
        <v>1</v>
      </c>
      <c r="BB52" t="s">
        <v>7</v>
      </c>
      <c r="BC52">
        <f>VLOOKUP(BB52,Metric_Codes!$C$91:$D$95,2,FALSE)</f>
        <v>3</v>
      </c>
      <c r="BD52" t="s">
        <v>7</v>
      </c>
      <c r="BE52">
        <f>VLOOKUP(BD52,Metric_Codes!$C$91:$D$95,2,FALSE)</f>
        <v>3</v>
      </c>
      <c r="BF52">
        <f t="shared" si="0"/>
        <v>3</v>
      </c>
      <c r="BG52" t="s">
        <v>814</v>
      </c>
      <c r="BH52" t="s">
        <v>1037</v>
      </c>
      <c r="BI52">
        <v>13</v>
      </c>
      <c r="BJ52" t="s">
        <v>1028</v>
      </c>
    </row>
    <row r="53" spans="1:62" x14ac:dyDescent="0.2">
      <c r="A53">
        <v>52</v>
      </c>
      <c r="B53" t="s">
        <v>694</v>
      </c>
      <c r="C53" t="s">
        <v>127</v>
      </c>
      <c r="D53" t="s">
        <v>128</v>
      </c>
      <c r="E53" t="s">
        <v>641</v>
      </c>
      <c r="F53" t="s">
        <v>644</v>
      </c>
      <c r="G53" t="s">
        <v>1158</v>
      </c>
      <c r="H53">
        <v>1937</v>
      </c>
      <c r="I53" t="s">
        <v>1137</v>
      </c>
      <c r="J53" t="s">
        <v>1064</v>
      </c>
      <c r="K53" t="s">
        <v>890</v>
      </c>
      <c r="L53" t="s">
        <v>1041</v>
      </c>
      <c r="M53">
        <v>667070000</v>
      </c>
      <c r="N53" t="s">
        <v>57</v>
      </c>
      <c r="O53" t="s">
        <v>1185</v>
      </c>
      <c r="P53">
        <v>67.3</v>
      </c>
      <c r="Q53" t="s">
        <v>37</v>
      </c>
      <c r="R53" s="17" t="s">
        <v>1505</v>
      </c>
      <c r="S53">
        <v>-0.2727</v>
      </c>
      <c r="T53">
        <v>89.52</v>
      </c>
      <c r="U53">
        <v>990</v>
      </c>
      <c r="V53">
        <v>0.64300000000000002</v>
      </c>
      <c r="W53">
        <v>38.6</v>
      </c>
      <c r="X53">
        <v>39</v>
      </c>
      <c r="Z53" t="s">
        <v>599</v>
      </c>
      <c r="AB53">
        <v>11000</v>
      </c>
      <c r="AE53" s="17">
        <v>0</v>
      </c>
      <c r="AF53" t="s">
        <v>18</v>
      </c>
      <c r="AG53"/>
      <c r="AK53" t="s">
        <v>24</v>
      </c>
      <c r="AL53" t="s">
        <v>1052</v>
      </c>
      <c r="AM53" t="s">
        <v>47</v>
      </c>
      <c r="AN53" t="s">
        <v>831</v>
      </c>
      <c r="AO53" t="s">
        <v>5</v>
      </c>
      <c r="AP53" t="s">
        <v>1140</v>
      </c>
      <c r="AQ53" t="s">
        <v>6</v>
      </c>
      <c r="AR53" t="s">
        <v>623</v>
      </c>
      <c r="AS53" t="s">
        <v>1023</v>
      </c>
      <c r="AT53" t="s">
        <v>629</v>
      </c>
      <c r="AU53" t="s">
        <v>22</v>
      </c>
      <c r="AV53">
        <v>18</v>
      </c>
      <c r="AW53" t="s">
        <v>7</v>
      </c>
      <c r="AX53">
        <f>VLOOKUP(AW53,Metric_Codes!$C$91:$D$95,2,FALSE)</f>
        <v>3</v>
      </c>
      <c r="AY53" t="s">
        <v>32</v>
      </c>
      <c r="AZ53" t="s">
        <v>22</v>
      </c>
      <c r="BA53">
        <v>18</v>
      </c>
      <c r="BB53" t="s">
        <v>7</v>
      </c>
      <c r="BC53">
        <f>VLOOKUP(BB53,Metric_Codes!$C$91:$D$95,2,FALSE)</f>
        <v>3</v>
      </c>
      <c r="BD53" t="s">
        <v>7</v>
      </c>
      <c r="BE53">
        <f>VLOOKUP(BD53,Metric_Codes!$C$91:$D$95,2,FALSE)</f>
        <v>3</v>
      </c>
      <c r="BF53">
        <f t="shared" si="0"/>
        <v>3</v>
      </c>
      <c r="BG53" t="s">
        <v>32</v>
      </c>
      <c r="BH53" t="s">
        <v>1037</v>
      </c>
      <c r="BI53">
        <v>7</v>
      </c>
      <c r="BJ53" t="s">
        <v>889</v>
      </c>
    </row>
    <row r="54" spans="1:62" x14ac:dyDescent="0.2">
      <c r="A54">
        <v>53</v>
      </c>
      <c r="B54" t="s">
        <v>695</v>
      </c>
      <c r="C54" t="s">
        <v>222</v>
      </c>
      <c r="D54" t="s">
        <v>223</v>
      </c>
      <c r="E54" t="s">
        <v>638</v>
      </c>
      <c r="F54" t="s">
        <v>639</v>
      </c>
      <c r="G54" t="s">
        <v>1158</v>
      </c>
      <c r="H54">
        <v>1943</v>
      </c>
      <c r="I54" t="s">
        <v>1043</v>
      </c>
      <c r="J54" t="s">
        <v>1065</v>
      </c>
      <c r="K54" t="s">
        <v>891</v>
      </c>
      <c r="L54" t="s">
        <v>1040</v>
      </c>
      <c r="M54">
        <v>449480608</v>
      </c>
      <c r="N54" t="s">
        <v>57</v>
      </c>
      <c r="O54" t="s">
        <v>1172</v>
      </c>
      <c r="P54">
        <v>55.2</v>
      </c>
      <c r="Q54" t="s">
        <v>51</v>
      </c>
      <c r="R54" s="17" t="s">
        <v>1503</v>
      </c>
      <c r="S54">
        <v>3.7199999999999997E-2</v>
      </c>
      <c r="T54">
        <v>81.28</v>
      </c>
      <c r="U54">
        <v>1120</v>
      </c>
      <c r="V54">
        <v>0.46800000000000003</v>
      </c>
      <c r="W54">
        <v>35.700000000000003</v>
      </c>
      <c r="X54">
        <v>41</v>
      </c>
      <c r="Z54" t="s">
        <v>599</v>
      </c>
      <c r="AB54">
        <v>5000</v>
      </c>
      <c r="AE54" s="17">
        <v>0</v>
      </c>
      <c r="AF54" t="s">
        <v>18</v>
      </c>
      <c r="AG54"/>
      <c r="AK54" t="s">
        <v>24</v>
      </c>
      <c r="AL54" t="s">
        <v>1052</v>
      </c>
      <c r="AM54" t="s">
        <v>47</v>
      </c>
      <c r="AN54" t="s">
        <v>835</v>
      </c>
      <c r="AO54" t="s">
        <v>5</v>
      </c>
      <c r="AP54" t="s">
        <v>1140</v>
      </c>
      <c r="AQ54" t="s">
        <v>6</v>
      </c>
      <c r="AR54" t="s">
        <v>623</v>
      </c>
      <c r="AS54" t="s">
        <v>1022</v>
      </c>
      <c r="AT54" t="s">
        <v>629</v>
      </c>
      <c r="AU54" t="s">
        <v>13</v>
      </c>
      <c r="AV54">
        <v>3</v>
      </c>
      <c r="AW54" t="s">
        <v>7</v>
      </c>
      <c r="AX54">
        <f>VLOOKUP(AW54,Metric_Codes!$C$91:$D$95,2,FALSE)</f>
        <v>3</v>
      </c>
      <c r="AY54" t="s">
        <v>32</v>
      </c>
      <c r="AZ54" t="s">
        <v>845</v>
      </c>
      <c r="BA54">
        <v>9</v>
      </c>
      <c r="BB54" t="s">
        <v>7</v>
      </c>
      <c r="BC54">
        <f>VLOOKUP(BB54,Metric_Codes!$C$91:$D$95,2,FALSE)</f>
        <v>3</v>
      </c>
      <c r="BD54" t="s">
        <v>7</v>
      </c>
      <c r="BE54">
        <f>VLOOKUP(BD54,Metric_Codes!$C$91:$D$95,2,FALSE)</f>
        <v>3</v>
      </c>
      <c r="BF54">
        <f t="shared" si="0"/>
        <v>3</v>
      </c>
      <c r="BG54" t="s">
        <v>32</v>
      </c>
      <c r="BH54" t="s">
        <v>1037</v>
      </c>
      <c r="BI54">
        <v>2</v>
      </c>
      <c r="BJ54" t="s">
        <v>892</v>
      </c>
    </row>
    <row r="55" spans="1:62" x14ac:dyDescent="0.2">
      <c r="A55">
        <v>54</v>
      </c>
      <c r="B55" t="s">
        <v>696</v>
      </c>
      <c r="C55" t="s">
        <v>471</v>
      </c>
      <c r="D55" t="s">
        <v>472</v>
      </c>
      <c r="E55" t="s">
        <v>641</v>
      </c>
      <c r="F55" t="s">
        <v>644</v>
      </c>
      <c r="G55" t="s">
        <v>1158</v>
      </c>
      <c r="H55">
        <v>1985</v>
      </c>
      <c r="I55" t="s">
        <v>749</v>
      </c>
      <c r="J55" t="s">
        <v>1065</v>
      </c>
      <c r="L55" t="s">
        <v>1041</v>
      </c>
      <c r="M55">
        <v>61049373</v>
      </c>
      <c r="N55" t="s">
        <v>41</v>
      </c>
      <c r="O55" t="s">
        <v>1154</v>
      </c>
      <c r="P55">
        <v>55.3</v>
      </c>
      <c r="Q55" t="s">
        <v>51</v>
      </c>
      <c r="R55" s="17" t="s">
        <v>1503</v>
      </c>
      <c r="S55">
        <v>3.7999999999999999E-2</v>
      </c>
      <c r="T55">
        <v>230.9</v>
      </c>
      <c r="U55">
        <v>880</v>
      </c>
      <c r="V55">
        <v>0.57399999999999995</v>
      </c>
      <c r="W55">
        <v>35.299999999999997</v>
      </c>
      <c r="X55">
        <v>33</v>
      </c>
      <c r="Y55" s="12">
        <v>0</v>
      </c>
      <c r="Z55" t="s">
        <v>601</v>
      </c>
      <c r="AA55">
        <v>65000</v>
      </c>
      <c r="AB55">
        <v>798</v>
      </c>
      <c r="AC55">
        <v>225000</v>
      </c>
      <c r="AD55">
        <v>450257</v>
      </c>
      <c r="AE55" s="17">
        <v>7.3752927814672228E-3</v>
      </c>
      <c r="AF55" t="s">
        <v>12</v>
      </c>
      <c r="AG55"/>
      <c r="AK55" t="s">
        <v>4</v>
      </c>
      <c r="AL55" t="s">
        <v>1052</v>
      </c>
      <c r="AM55" t="s">
        <v>47</v>
      </c>
      <c r="AN55" t="s">
        <v>831</v>
      </c>
      <c r="AO55" t="s">
        <v>5</v>
      </c>
      <c r="AP55" t="s">
        <v>1142</v>
      </c>
      <c r="AQ55" t="s">
        <v>6</v>
      </c>
      <c r="AR55" t="s">
        <v>623</v>
      </c>
      <c r="AS55" t="s">
        <v>1030</v>
      </c>
      <c r="AT55" t="s">
        <v>629</v>
      </c>
      <c r="AU55" t="s">
        <v>22</v>
      </c>
      <c r="AV55">
        <v>18</v>
      </c>
      <c r="AW55" t="s">
        <v>7</v>
      </c>
      <c r="AX55">
        <f>VLOOKUP(AW55,Metric_Codes!$C$91:$D$95,2,FALSE)</f>
        <v>3</v>
      </c>
      <c r="AY55" t="s">
        <v>32</v>
      </c>
      <c r="AZ55" t="s">
        <v>22</v>
      </c>
      <c r="BA55">
        <v>18</v>
      </c>
      <c r="BB55" t="s">
        <v>7</v>
      </c>
      <c r="BC55">
        <f>VLOOKUP(BB55,Metric_Codes!$C$91:$D$95,2,FALSE)</f>
        <v>3</v>
      </c>
      <c r="BD55" t="s">
        <v>7</v>
      </c>
      <c r="BE55">
        <f>VLOOKUP(BD55,Metric_Codes!$C$91:$D$95,2,FALSE)</f>
        <v>3</v>
      </c>
      <c r="BF55">
        <f t="shared" si="0"/>
        <v>3</v>
      </c>
      <c r="BG55" t="s">
        <v>32</v>
      </c>
      <c r="BH55" t="s">
        <v>1037</v>
      </c>
      <c r="BI55">
        <v>1</v>
      </c>
      <c r="BJ55" t="s">
        <v>893</v>
      </c>
    </row>
    <row r="56" spans="1:62" x14ac:dyDescent="0.2">
      <c r="A56">
        <v>55</v>
      </c>
      <c r="B56" t="s">
        <v>697</v>
      </c>
      <c r="C56" t="s">
        <v>127</v>
      </c>
      <c r="D56" t="s">
        <v>128</v>
      </c>
      <c r="E56" t="s">
        <v>641</v>
      </c>
      <c r="F56" t="s">
        <v>644</v>
      </c>
      <c r="G56" t="s">
        <v>1158</v>
      </c>
      <c r="H56">
        <v>1975</v>
      </c>
      <c r="I56" t="s">
        <v>749</v>
      </c>
      <c r="J56" t="s">
        <v>1065</v>
      </c>
      <c r="K56" t="s">
        <v>896</v>
      </c>
      <c r="L56" t="s">
        <v>1041</v>
      </c>
      <c r="M56">
        <v>916395000</v>
      </c>
      <c r="N56" t="s">
        <v>57</v>
      </c>
      <c r="O56" t="s">
        <v>1185</v>
      </c>
      <c r="P56">
        <v>67.3</v>
      </c>
      <c r="Q56" t="s">
        <v>37</v>
      </c>
      <c r="R56" s="17" t="s">
        <v>1503</v>
      </c>
      <c r="S56">
        <v>8.6999999999999994E-2</v>
      </c>
      <c r="T56">
        <v>178.3</v>
      </c>
      <c r="U56">
        <v>990</v>
      </c>
      <c r="V56">
        <v>0.64300000000000002</v>
      </c>
      <c r="W56">
        <v>38.6</v>
      </c>
      <c r="X56">
        <v>39</v>
      </c>
      <c r="Y56" t="s">
        <v>939</v>
      </c>
      <c r="Z56" t="s">
        <v>1</v>
      </c>
      <c r="AA56">
        <v>1200000</v>
      </c>
      <c r="AB56">
        <v>171000</v>
      </c>
      <c r="AD56">
        <v>11000000</v>
      </c>
      <c r="AE56" s="17">
        <v>1.2003557417925676E-2</v>
      </c>
      <c r="AF56" t="s">
        <v>12</v>
      </c>
      <c r="AG56"/>
      <c r="AJ56" t="s">
        <v>16</v>
      </c>
      <c r="AK56" t="s">
        <v>4</v>
      </c>
      <c r="AL56" t="s">
        <v>1052</v>
      </c>
      <c r="AM56" t="s">
        <v>47</v>
      </c>
      <c r="AN56" t="s">
        <v>831</v>
      </c>
      <c r="AO56" t="s">
        <v>5</v>
      </c>
      <c r="AP56" t="s">
        <v>1140</v>
      </c>
      <c r="AQ56" t="s">
        <v>6</v>
      </c>
      <c r="AR56" t="s">
        <v>623</v>
      </c>
      <c r="AS56" t="s">
        <v>1030</v>
      </c>
      <c r="AT56" t="s">
        <v>629</v>
      </c>
      <c r="AU56" t="s">
        <v>10</v>
      </c>
      <c r="AV56">
        <v>48</v>
      </c>
      <c r="AW56" t="s">
        <v>11</v>
      </c>
      <c r="AX56">
        <f>VLOOKUP(AW56,Metric_Codes!$C$91:$D$95,2,FALSE)</f>
        <v>4</v>
      </c>
      <c r="AY56" t="s">
        <v>32</v>
      </c>
      <c r="AZ56" t="s">
        <v>10</v>
      </c>
      <c r="BA56">
        <v>48</v>
      </c>
      <c r="BB56" t="s">
        <v>7</v>
      </c>
      <c r="BC56">
        <f>VLOOKUP(BB56,Metric_Codes!$C$91:$D$95,2,FALSE)</f>
        <v>3</v>
      </c>
      <c r="BD56" t="s">
        <v>11</v>
      </c>
      <c r="BE56">
        <f>VLOOKUP(BD56,Metric_Codes!$C$91:$D$95,2,FALSE)</f>
        <v>4</v>
      </c>
      <c r="BF56">
        <f t="shared" si="0"/>
        <v>3.5</v>
      </c>
      <c r="BG56" t="s">
        <v>32</v>
      </c>
      <c r="BH56" t="s">
        <v>1037</v>
      </c>
      <c r="BI56">
        <v>4</v>
      </c>
      <c r="BJ56" t="s">
        <v>894</v>
      </c>
    </row>
    <row r="57" spans="1:62" x14ac:dyDescent="0.2">
      <c r="A57">
        <v>56</v>
      </c>
      <c r="B57" t="s">
        <v>698</v>
      </c>
      <c r="C57" t="s">
        <v>222</v>
      </c>
      <c r="D57" t="s">
        <v>223</v>
      </c>
      <c r="E57" t="s">
        <v>641</v>
      </c>
      <c r="F57" t="s">
        <v>644</v>
      </c>
      <c r="G57" t="s">
        <v>1158</v>
      </c>
      <c r="H57">
        <v>1977</v>
      </c>
      <c r="I57" t="s">
        <v>753</v>
      </c>
      <c r="J57" t="s">
        <v>1064</v>
      </c>
      <c r="K57" t="s">
        <v>899</v>
      </c>
      <c r="L57" t="s">
        <v>1041</v>
      </c>
      <c r="M57">
        <v>650485030</v>
      </c>
      <c r="N57" t="s">
        <v>57</v>
      </c>
      <c r="O57" t="s">
        <v>1172</v>
      </c>
      <c r="P57">
        <v>55.2</v>
      </c>
      <c r="Q57" t="s">
        <v>51</v>
      </c>
      <c r="R57" s="17" t="s">
        <v>1503</v>
      </c>
      <c r="S57">
        <v>7.2999999999999995E-2</v>
      </c>
      <c r="T57">
        <v>184.3</v>
      </c>
      <c r="U57">
        <v>1120</v>
      </c>
      <c r="V57">
        <v>0.46800000000000003</v>
      </c>
      <c r="W57">
        <v>35.700000000000003</v>
      </c>
      <c r="X57">
        <v>41</v>
      </c>
      <c r="Y57" t="s">
        <v>940</v>
      </c>
      <c r="Z57" t="s">
        <v>1</v>
      </c>
      <c r="AA57">
        <v>498535</v>
      </c>
      <c r="AB57">
        <v>14204</v>
      </c>
      <c r="AC57">
        <v>5432400</v>
      </c>
      <c r="AD57">
        <v>14469800</v>
      </c>
      <c r="AE57" s="17">
        <v>2.2244631824962981E-2</v>
      </c>
      <c r="AF57" t="s">
        <v>18</v>
      </c>
      <c r="AG57"/>
      <c r="AK57" t="s">
        <v>4</v>
      </c>
      <c r="AL57" t="s">
        <v>1052</v>
      </c>
      <c r="AM57" t="s">
        <v>47</v>
      </c>
      <c r="AN57" t="s">
        <v>835</v>
      </c>
      <c r="AO57" t="s">
        <v>5</v>
      </c>
      <c r="AP57" t="s">
        <v>1140</v>
      </c>
      <c r="AQ57" t="s">
        <v>6</v>
      </c>
      <c r="AR57" t="s">
        <v>623</v>
      </c>
      <c r="AS57" t="s">
        <v>1022</v>
      </c>
      <c r="AT57" t="s">
        <v>631</v>
      </c>
      <c r="AU57" t="s">
        <v>22</v>
      </c>
      <c r="AV57">
        <v>18</v>
      </c>
      <c r="AW57" t="s">
        <v>7</v>
      </c>
      <c r="AX57">
        <f>VLOOKUP(AW57,Metric_Codes!$C$91:$D$95,2,FALSE)</f>
        <v>3</v>
      </c>
      <c r="AY57" t="s">
        <v>32</v>
      </c>
      <c r="AZ57" t="s">
        <v>22</v>
      </c>
      <c r="BA57">
        <v>18</v>
      </c>
      <c r="BB57" t="s">
        <v>7</v>
      </c>
      <c r="BC57">
        <f>VLOOKUP(BB57,Metric_Codes!$C$91:$D$95,2,FALSE)</f>
        <v>3</v>
      </c>
      <c r="BD57" t="s">
        <v>11</v>
      </c>
      <c r="BE57">
        <f>VLOOKUP(BD57,Metric_Codes!$C$91:$D$95,2,FALSE)</f>
        <v>4</v>
      </c>
      <c r="BF57">
        <f t="shared" si="0"/>
        <v>3.5</v>
      </c>
      <c r="BG57" t="s">
        <v>32</v>
      </c>
      <c r="BH57" t="s">
        <v>1037</v>
      </c>
      <c r="BI57">
        <v>8</v>
      </c>
      <c r="BJ57" t="s">
        <v>1031</v>
      </c>
    </row>
    <row r="58" spans="1:62" x14ac:dyDescent="0.2">
      <c r="A58">
        <v>57</v>
      </c>
      <c r="B58" t="s">
        <v>699</v>
      </c>
      <c r="C58" t="s">
        <v>461</v>
      </c>
      <c r="D58" t="s">
        <v>462</v>
      </c>
      <c r="E58" t="s">
        <v>641</v>
      </c>
      <c r="F58" t="s">
        <v>644</v>
      </c>
      <c r="G58" t="s">
        <v>1158</v>
      </c>
      <c r="H58">
        <v>1989</v>
      </c>
      <c r="I58" t="s">
        <v>753</v>
      </c>
      <c r="J58" t="s">
        <v>1064</v>
      </c>
      <c r="K58" t="s">
        <v>900</v>
      </c>
      <c r="L58" t="s">
        <v>1041</v>
      </c>
      <c r="M58">
        <v>246819000</v>
      </c>
      <c r="N58" t="s">
        <v>64</v>
      </c>
      <c r="O58" t="s">
        <v>1172</v>
      </c>
      <c r="P58">
        <v>76.8</v>
      </c>
      <c r="Q58" t="s">
        <v>47</v>
      </c>
      <c r="R58" s="17" t="s">
        <v>1503</v>
      </c>
      <c r="S58">
        <v>3.6999999999999998E-2</v>
      </c>
      <c r="T58">
        <v>22922.400000000001</v>
      </c>
      <c r="U58">
        <v>23730</v>
      </c>
      <c r="V58">
        <v>0.79700000000000004</v>
      </c>
      <c r="W58">
        <v>41.5</v>
      </c>
      <c r="X58">
        <v>71</v>
      </c>
      <c r="Y58" s="12">
        <v>5.0616260000000003E-2</v>
      </c>
      <c r="Z58" t="s">
        <v>601</v>
      </c>
      <c r="AA58">
        <v>7000000</v>
      </c>
      <c r="AB58">
        <v>51</v>
      </c>
      <c r="AC58">
        <v>25000</v>
      </c>
      <c r="AD58">
        <v>25000</v>
      </c>
      <c r="AE58" s="17">
        <v>1.0128879867433221E-4</v>
      </c>
      <c r="AF58" t="s">
        <v>20</v>
      </c>
      <c r="AI58" s="13">
        <v>4200000</v>
      </c>
      <c r="AJ58" t="s">
        <v>3</v>
      </c>
      <c r="AK58" t="s">
        <v>8</v>
      </c>
      <c r="AL58" t="s">
        <v>631</v>
      </c>
      <c r="AM58" t="s">
        <v>47</v>
      </c>
      <c r="AN58" t="s">
        <v>835</v>
      </c>
      <c r="AO58" t="s">
        <v>615</v>
      </c>
      <c r="AP58" t="s">
        <v>1142</v>
      </c>
      <c r="AQ58" t="s">
        <v>9</v>
      </c>
      <c r="AR58" t="s">
        <v>624</v>
      </c>
      <c r="AS58" t="s">
        <v>1023</v>
      </c>
      <c r="AT58" t="s">
        <v>846</v>
      </c>
      <c r="AU58" t="s">
        <v>10</v>
      </c>
      <c r="AV58">
        <v>48</v>
      </c>
      <c r="AW58" t="s">
        <v>7</v>
      </c>
      <c r="AX58">
        <f>VLOOKUP(AW58,Metric_Codes!$C$91:$D$95,2,FALSE)</f>
        <v>3</v>
      </c>
      <c r="AY58" t="s">
        <v>32</v>
      </c>
      <c r="AZ58" t="s">
        <v>10</v>
      </c>
      <c r="BA58">
        <v>48</v>
      </c>
      <c r="BB58" t="s">
        <v>7</v>
      </c>
      <c r="BC58">
        <f>VLOOKUP(BB58,Metric_Codes!$C$91:$D$95,2,FALSE)</f>
        <v>3</v>
      </c>
      <c r="BD58" t="s">
        <v>11</v>
      </c>
      <c r="BE58">
        <f>VLOOKUP(BD58,Metric_Codes!$C$91:$D$95,2,FALSE)</f>
        <v>4</v>
      </c>
      <c r="BF58">
        <f t="shared" si="0"/>
        <v>3.5</v>
      </c>
      <c r="BG58" t="s">
        <v>32</v>
      </c>
      <c r="BH58" t="s">
        <v>1050</v>
      </c>
      <c r="BI58">
        <v>11</v>
      </c>
      <c r="BJ58" t="s">
        <v>901</v>
      </c>
    </row>
    <row r="59" spans="1:62" x14ac:dyDescent="0.2">
      <c r="A59">
        <v>58</v>
      </c>
      <c r="B59" t="s">
        <v>700</v>
      </c>
      <c r="C59" t="s">
        <v>459</v>
      </c>
      <c r="D59" t="s">
        <v>460</v>
      </c>
      <c r="E59" t="s">
        <v>641</v>
      </c>
      <c r="F59" t="s">
        <v>642</v>
      </c>
      <c r="G59" t="s">
        <v>1158</v>
      </c>
      <c r="H59">
        <v>1990</v>
      </c>
      <c r="I59" t="s">
        <v>1087</v>
      </c>
      <c r="J59" t="s">
        <v>1066</v>
      </c>
      <c r="K59" t="s">
        <v>902</v>
      </c>
      <c r="L59" t="s">
        <v>516</v>
      </c>
      <c r="M59">
        <v>57247586</v>
      </c>
      <c r="N59" t="s">
        <v>64</v>
      </c>
      <c r="O59" t="s">
        <v>1172</v>
      </c>
      <c r="P59">
        <v>78.900000000000006</v>
      </c>
      <c r="Q59" t="s">
        <v>47</v>
      </c>
      <c r="R59" s="17" t="s">
        <v>1504</v>
      </c>
      <c r="S59">
        <v>7.0000000000000001E-3</v>
      </c>
      <c r="T59">
        <v>19095.5</v>
      </c>
      <c r="U59">
        <v>16990</v>
      </c>
      <c r="V59">
        <v>0.83499999999999996</v>
      </c>
      <c r="W59">
        <v>33.200000000000003</v>
      </c>
      <c r="X59">
        <v>80</v>
      </c>
      <c r="Y59" s="12">
        <v>2.9733099999999998E-2</v>
      </c>
      <c r="Z59" t="s">
        <v>599</v>
      </c>
      <c r="AA59">
        <v>3400000</v>
      </c>
      <c r="AB59">
        <v>47</v>
      </c>
      <c r="AD59">
        <v>1000000</v>
      </c>
      <c r="AE59" s="17">
        <v>1.7467985462304034E-2</v>
      </c>
      <c r="AF59" t="s">
        <v>2</v>
      </c>
      <c r="AI59" s="13">
        <v>2500000</v>
      </c>
      <c r="AJ59" t="s">
        <v>16</v>
      </c>
      <c r="AK59" t="s">
        <v>8</v>
      </c>
      <c r="AL59" t="s">
        <v>631</v>
      </c>
      <c r="AM59" t="s">
        <v>47</v>
      </c>
      <c r="AN59" t="s">
        <v>835</v>
      </c>
      <c r="AO59" t="s">
        <v>5</v>
      </c>
      <c r="AP59" t="s">
        <v>1143</v>
      </c>
      <c r="AQ59" t="s">
        <v>9</v>
      </c>
      <c r="AR59" t="s">
        <v>624</v>
      </c>
      <c r="AS59" t="s">
        <v>1025</v>
      </c>
      <c r="AT59" t="s">
        <v>846</v>
      </c>
      <c r="AU59" t="s">
        <v>845</v>
      </c>
      <c r="AV59">
        <v>9</v>
      </c>
      <c r="AW59" t="s">
        <v>7</v>
      </c>
      <c r="AX59">
        <f>VLOOKUP(AW59,Metric_Codes!$C$91:$D$95,2,FALSE)</f>
        <v>3</v>
      </c>
      <c r="AY59" t="s">
        <v>32</v>
      </c>
      <c r="AZ59" t="s">
        <v>22</v>
      </c>
      <c r="BA59">
        <v>18</v>
      </c>
      <c r="BB59" t="s">
        <v>7</v>
      </c>
      <c r="BC59">
        <f>VLOOKUP(BB59,Metric_Codes!$C$91:$D$95,2,FALSE)</f>
        <v>3</v>
      </c>
      <c r="BD59" t="s">
        <v>7</v>
      </c>
      <c r="BE59">
        <f>VLOOKUP(BD59,Metric_Codes!$C$91:$D$95,2,FALSE)</f>
        <v>3</v>
      </c>
      <c r="BF59">
        <f t="shared" si="0"/>
        <v>3</v>
      </c>
      <c r="BG59" t="s">
        <v>32</v>
      </c>
      <c r="BH59" t="s">
        <v>1050</v>
      </c>
      <c r="BI59">
        <v>4</v>
      </c>
      <c r="BJ59" t="s">
        <v>903</v>
      </c>
    </row>
    <row r="60" spans="1:62" x14ac:dyDescent="0.2">
      <c r="A60">
        <v>59</v>
      </c>
      <c r="B60" t="s">
        <v>701</v>
      </c>
      <c r="C60" t="s">
        <v>240</v>
      </c>
      <c r="D60" t="s">
        <v>241</v>
      </c>
      <c r="E60" t="s">
        <v>641</v>
      </c>
      <c r="F60" t="s">
        <v>644</v>
      </c>
      <c r="G60" t="s">
        <v>1158</v>
      </c>
      <c r="H60">
        <v>1991</v>
      </c>
      <c r="I60" t="s">
        <v>753</v>
      </c>
      <c r="J60" t="s">
        <v>1064</v>
      </c>
      <c r="K60" t="s">
        <v>904</v>
      </c>
      <c r="L60" t="s">
        <v>516</v>
      </c>
      <c r="M60">
        <v>123921000</v>
      </c>
      <c r="N60" t="s">
        <v>67</v>
      </c>
      <c r="O60" t="s">
        <v>1172</v>
      </c>
      <c r="P60">
        <v>72.099999999999994</v>
      </c>
      <c r="Q60" t="s">
        <v>47</v>
      </c>
      <c r="R60" s="17" t="s">
        <v>1503</v>
      </c>
      <c r="S60">
        <v>3.4000000000000002E-2</v>
      </c>
      <c r="T60">
        <v>28925</v>
      </c>
      <c r="U60">
        <v>20880</v>
      </c>
      <c r="V60">
        <v>0.876</v>
      </c>
      <c r="W60">
        <v>32.1</v>
      </c>
      <c r="X60">
        <v>73</v>
      </c>
      <c r="Y60" s="12">
        <v>2.421038E-2</v>
      </c>
      <c r="Z60" t="s">
        <v>601</v>
      </c>
      <c r="AA60">
        <v>10000000</v>
      </c>
      <c r="AB60">
        <v>66</v>
      </c>
      <c r="AC60">
        <v>351</v>
      </c>
      <c r="AD60">
        <v>91128</v>
      </c>
      <c r="AE60" s="17">
        <v>7.353717287626794E-4</v>
      </c>
      <c r="AF60" t="s">
        <v>20</v>
      </c>
      <c r="AI60" s="13">
        <v>6000000</v>
      </c>
      <c r="AJ60" t="s">
        <v>16</v>
      </c>
      <c r="AK60" t="s">
        <v>8</v>
      </c>
      <c r="AL60" t="s">
        <v>600</v>
      </c>
      <c r="AM60" t="s">
        <v>814</v>
      </c>
      <c r="AN60" t="s">
        <v>835</v>
      </c>
      <c r="AO60" t="s">
        <v>615</v>
      </c>
      <c r="AP60" t="s">
        <v>1143</v>
      </c>
      <c r="AQ60" t="s">
        <v>9</v>
      </c>
      <c r="AR60" t="s">
        <v>624</v>
      </c>
      <c r="AS60" t="s">
        <v>1025</v>
      </c>
      <c r="AT60" t="s">
        <v>629</v>
      </c>
      <c r="AU60" t="s">
        <v>22</v>
      </c>
      <c r="AV60">
        <v>18</v>
      </c>
      <c r="AW60" t="s">
        <v>7</v>
      </c>
      <c r="AX60">
        <f>VLOOKUP(AW60,Metric_Codes!$C$91:$D$95,2,FALSE)</f>
        <v>3</v>
      </c>
      <c r="AY60" t="s">
        <v>32</v>
      </c>
      <c r="AZ60" t="s">
        <v>22</v>
      </c>
      <c r="BA60">
        <v>18</v>
      </c>
      <c r="BB60" t="s">
        <v>7</v>
      </c>
      <c r="BC60">
        <f>VLOOKUP(BB60,Metric_Codes!$C$91:$D$95,2,FALSE)</f>
        <v>3</v>
      </c>
      <c r="BD60" t="s">
        <v>11</v>
      </c>
      <c r="BE60">
        <f>VLOOKUP(BD60,Metric_Codes!$C$91:$D$95,2,FALSE)</f>
        <v>4</v>
      </c>
      <c r="BF60">
        <f t="shared" si="0"/>
        <v>3.5</v>
      </c>
      <c r="BG60" t="s">
        <v>32</v>
      </c>
      <c r="BH60" t="s">
        <v>1051</v>
      </c>
      <c r="BI60">
        <v>2</v>
      </c>
      <c r="BJ60" t="s">
        <v>905</v>
      </c>
    </row>
    <row r="61" spans="1:62" x14ac:dyDescent="0.2">
      <c r="A61">
        <v>60</v>
      </c>
      <c r="B61" t="s">
        <v>702</v>
      </c>
      <c r="C61" t="s">
        <v>74</v>
      </c>
      <c r="D61" t="s">
        <v>75</v>
      </c>
      <c r="E61" t="s">
        <v>641</v>
      </c>
      <c r="F61" t="s">
        <v>644</v>
      </c>
      <c r="G61" t="s">
        <v>1158</v>
      </c>
      <c r="H61">
        <v>1991</v>
      </c>
      <c r="I61" t="s">
        <v>751</v>
      </c>
      <c r="J61" t="s">
        <v>1063</v>
      </c>
      <c r="K61" t="s">
        <v>907</v>
      </c>
      <c r="L61" t="s">
        <v>1041</v>
      </c>
      <c r="M61">
        <v>108727432</v>
      </c>
      <c r="N61" t="s">
        <v>33</v>
      </c>
      <c r="O61" t="s">
        <v>1185</v>
      </c>
      <c r="P61">
        <v>55.6</v>
      </c>
      <c r="Q61" t="s">
        <v>51</v>
      </c>
      <c r="R61" s="17" t="s">
        <v>1503</v>
      </c>
      <c r="S61">
        <v>3.5000000000000003E-2</v>
      </c>
      <c r="T61">
        <v>284.7</v>
      </c>
      <c r="U61">
        <v>890</v>
      </c>
      <c r="V61">
        <v>0.46200000000000002</v>
      </c>
      <c r="W61">
        <v>32.4</v>
      </c>
      <c r="X61">
        <v>26</v>
      </c>
      <c r="Y61" s="12">
        <v>1.4986520000000001E-3</v>
      </c>
      <c r="Z61" t="s">
        <v>1</v>
      </c>
      <c r="AA61">
        <v>1780000</v>
      </c>
      <c r="AB61">
        <v>138866</v>
      </c>
      <c r="AC61">
        <v>300000</v>
      </c>
      <c r="AD61">
        <v>15438849</v>
      </c>
      <c r="AE61" s="17">
        <v>0.14199589483544503</v>
      </c>
      <c r="AF61" t="s">
        <v>18</v>
      </c>
      <c r="AG61"/>
      <c r="AK61" t="s">
        <v>24</v>
      </c>
      <c r="AL61" t="s">
        <v>1052</v>
      </c>
      <c r="AM61" t="s">
        <v>47</v>
      </c>
      <c r="AN61" t="s">
        <v>832</v>
      </c>
      <c r="AO61" t="s">
        <v>5</v>
      </c>
      <c r="AP61" t="s">
        <v>1141</v>
      </c>
      <c r="AQ61" t="s">
        <v>6</v>
      </c>
      <c r="AR61" t="s">
        <v>623</v>
      </c>
      <c r="AS61" t="s">
        <v>1023</v>
      </c>
      <c r="AT61" t="s">
        <v>629</v>
      </c>
      <c r="AU61" t="s">
        <v>22</v>
      </c>
      <c r="AV61">
        <v>18</v>
      </c>
      <c r="AW61" t="s">
        <v>7</v>
      </c>
      <c r="AX61">
        <f>VLOOKUP(AW61,Metric_Codes!$C$91:$D$95,2,FALSE)</f>
        <v>3</v>
      </c>
      <c r="AY61" t="s">
        <v>32</v>
      </c>
      <c r="AZ61" t="s">
        <v>845</v>
      </c>
      <c r="BA61">
        <v>9</v>
      </c>
      <c r="BB61" t="s">
        <v>7</v>
      </c>
      <c r="BC61">
        <f>VLOOKUP(BB61,Metric_Codes!$C$91:$D$95,2,FALSE)</f>
        <v>3</v>
      </c>
      <c r="BD61" t="s">
        <v>11</v>
      </c>
      <c r="BE61">
        <f>VLOOKUP(BD61,Metric_Codes!$C$91:$D$95,2,FALSE)</f>
        <v>4</v>
      </c>
      <c r="BF61">
        <f t="shared" si="0"/>
        <v>3.5</v>
      </c>
      <c r="BG61" t="s">
        <v>32</v>
      </c>
      <c r="BH61" t="s">
        <v>1037</v>
      </c>
      <c r="BI61">
        <v>3</v>
      </c>
      <c r="BJ61" t="s">
        <v>906</v>
      </c>
    </row>
    <row r="62" spans="1:62" x14ac:dyDescent="0.2">
      <c r="A62">
        <v>61</v>
      </c>
      <c r="B62" t="s">
        <v>703</v>
      </c>
      <c r="C62" t="s">
        <v>461</v>
      </c>
      <c r="D62" t="s">
        <v>462</v>
      </c>
      <c r="E62" t="s">
        <v>641</v>
      </c>
      <c r="F62" t="s">
        <v>644</v>
      </c>
      <c r="G62" t="s">
        <v>1158</v>
      </c>
      <c r="H62">
        <v>1992</v>
      </c>
      <c r="I62" t="s">
        <v>751</v>
      </c>
      <c r="J62" t="s">
        <v>1063</v>
      </c>
      <c r="K62" t="s">
        <v>908</v>
      </c>
      <c r="L62" t="s">
        <v>1041</v>
      </c>
      <c r="M62">
        <v>256514000</v>
      </c>
      <c r="N62" t="s">
        <v>64</v>
      </c>
      <c r="O62" t="s">
        <v>1172</v>
      </c>
      <c r="P62">
        <v>76.8</v>
      </c>
      <c r="Q62" t="s">
        <v>47</v>
      </c>
      <c r="R62" s="17" t="s">
        <v>1503</v>
      </c>
      <c r="S62">
        <v>3.5999999999999997E-2</v>
      </c>
      <c r="T62">
        <v>25493</v>
      </c>
      <c r="U62">
        <v>25180</v>
      </c>
      <c r="V62">
        <v>0.79700000000000004</v>
      </c>
      <c r="W62">
        <v>41.5</v>
      </c>
      <c r="X62">
        <v>71</v>
      </c>
      <c r="Y62" s="12">
        <v>4.8958889999999998E-2</v>
      </c>
      <c r="Z62" t="s">
        <v>601</v>
      </c>
      <c r="AA62">
        <v>26500000</v>
      </c>
      <c r="AB62">
        <v>44</v>
      </c>
      <c r="AC62">
        <v>250000</v>
      </c>
      <c r="AD62">
        <v>250055</v>
      </c>
      <c r="AE62" s="17">
        <v>9.7482008779247917E-4</v>
      </c>
      <c r="AF62" t="s">
        <v>20</v>
      </c>
      <c r="AG62" s="13">
        <v>11100000</v>
      </c>
      <c r="AI62" s="13">
        <v>27300000</v>
      </c>
      <c r="AJ62" t="s">
        <v>3</v>
      </c>
      <c r="AK62" t="s">
        <v>8</v>
      </c>
      <c r="AL62" t="s">
        <v>631</v>
      </c>
      <c r="AM62" t="s">
        <v>47</v>
      </c>
      <c r="AN62" t="s">
        <v>835</v>
      </c>
      <c r="AO62" t="s">
        <v>5</v>
      </c>
      <c r="AP62" t="s">
        <v>1142</v>
      </c>
      <c r="AQ62" t="s">
        <v>9</v>
      </c>
      <c r="AR62" t="s">
        <v>624</v>
      </c>
      <c r="AS62" t="s">
        <v>1023</v>
      </c>
      <c r="AT62" t="s">
        <v>629</v>
      </c>
      <c r="AU62" t="s">
        <v>22</v>
      </c>
      <c r="AV62">
        <v>18</v>
      </c>
      <c r="AW62" t="s">
        <v>7</v>
      </c>
      <c r="AX62">
        <f>VLOOKUP(AW62,Metric_Codes!$C$91:$D$95,2,FALSE)</f>
        <v>3</v>
      </c>
      <c r="AY62" t="s">
        <v>32</v>
      </c>
      <c r="AZ62" t="s">
        <v>22</v>
      </c>
      <c r="BA62">
        <v>18</v>
      </c>
      <c r="BB62" t="s">
        <v>7</v>
      </c>
      <c r="BC62">
        <f>VLOOKUP(BB62,Metric_Codes!$C$91:$D$95,2,FALSE)</f>
        <v>3</v>
      </c>
      <c r="BD62" t="s">
        <v>11</v>
      </c>
      <c r="BE62">
        <f>VLOOKUP(BD62,Metric_Codes!$C$91:$D$95,2,FALSE)</f>
        <v>4</v>
      </c>
      <c r="BF62">
        <f t="shared" si="0"/>
        <v>3.5</v>
      </c>
      <c r="BG62" t="s">
        <v>32</v>
      </c>
      <c r="BH62" t="s">
        <v>1050</v>
      </c>
      <c r="BI62">
        <v>4</v>
      </c>
      <c r="BJ62" t="s">
        <v>1033</v>
      </c>
    </row>
    <row r="63" spans="1:62" x14ac:dyDescent="0.2">
      <c r="A63">
        <v>62</v>
      </c>
      <c r="B63" t="s">
        <v>704</v>
      </c>
      <c r="C63" t="s">
        <v>469</v>
      </c>
      <c r="D63" t="s">
        <v>470</v>
      </c>
      <c r="E63" t="s">
        <v>641</v>
      </c>
      <c r="F63" t="s">
        <v>644</v>
      </c>
      <c r="G63" t="s">
        <v>1158</v>
      </c>
      <c r="H63">
        <v>1993</v>
      </c>
      <c r="I63" t="s">
        <v>1088</v>
      </c>
      <c r="J63" t="s">
        <v>1078</v>
      </c>
      <c r="K63" t="s">
        <v>910</v>
      </c>
      <c r="L63" t="s">
        <v>1041</v>
      </c>
      <c r="M63">
        <v>21263443</v>
      </c>
      <c r="N63" t="s">
        <v>57</v>
      </c>
      <c r="O63" t="s">
        <v>1172</v>
      </c>
      <c r="P63">
        <v>25.9</v>
      </c>
      <c r="Q63" t="s">
        <v>37</v>
      </c>
      <c r="R63" s="17" t="s">
        <v>1504</v>
      </c>
      <c r="S63">
        <v>3.0000000000000001E-3</v>
      </c>
      <c r="T63">
        <v>2824.8</v>
      </c>
      <c r="U63">
        <v>10700</v>
      </c>
      <c r="V63">
        <v>0.63600000000000001</v>
      </c>
      <c r="W63">
        <v>46.9</v>
      </c>
      <c r="X63">
        <v>18</v>
      </c>
      <c r="Y63" s="12">
        <v>2.4188560000000001E-2</v>
      </c>
      <c r="Z63" t="s">
        <v>599</v>
      </c>
      <c r="AA63">
        <v>25000</v>
      </c>
      <c r="AB63">
        <v>173</v>
      </c>
      <c r="AC63">
        <v>11000</v>
      </c>
      <c r="AE63" s="17" t="e">
        <v>#VALUE!</v>
      </c>
      <c r="AF63" t="s">
        <v>18</v>
      </c>
      <c r="AG63"/>
      <c r="AH63">
        <v>543</v>
      </c>
      <c r="AK63" t="s">
        <v>4</v>
      </c>
      <c r="AL63" t="s">
        <v>1052</v>
      </c>
      <c r="AM63" t="s">
        <v>47</v>
      </c>
      <c r="AN63" t="s">
        <v>831</v>
      </c>
      <c r="AO63" t="s">
        <v>5</v>
      </c>
      <c r="AP63" t="s">
        <v>1141</v>
      </c>
      <c r="AQ63" t="s">
        <v>6</v>
      </c>
      <c r="AR63" t="s">
        <v>623</v>
      </c>
      <c r="AS63" t="s">
        <v>1023</v>
      </c>
      <c r="AT63" t="s">
        <v>846</v>
      </c>
      <c r="AU63" t="s">
        <v>845</v>
      </c>
      <c r="AV63">
        <v>9</v>
      </c>
      <c r="AW63" t="s">
        <v>7</v>
      </c>
      <c r="AX63">
        <f>VLOOKUP(AW63,Metric_Codes!$C$91:$D$95,2,FALSE)</f>
        <v>3</v>
      </c>
      <c r="AY63" t="s">
        <v>32</v>
      </c>
      <c r="AZ63" t="s">
        <v>845</v>
      </c>
      <c r="BA63">
        <v>9</v>
      </c>
      <c r="BB63" t="s">
        <v>7</v>
      </c>
      <c r="BC63">
        <f>VLOOKUP(BB63,Metric_Codes!$C$91:$D$95,2,FALSE)</f>
        <v>3</v>
      </c>
      <c r="BD63" t="s">
        <v>7</v>
      </c>
      <c r="BE63">
        <f>VLOOKUP(BD63,Metric_Codes!$C$91:$D$95,2,FALSE)</f>
        <v>3</v>
      </c>
      <c r="BF63">
        <f t="shared" si="0"/>
        <v>3</v>
      </c>
      <c r="BG63" t="s">
        <v>32</v>
      </c>
      <c r="BH63" t="s">
        <v>1037</v>
      </c>
      <c r="BI63">
        <v>2</v>
      </c>
      <c r="BJ63" t="s">
        <v>909</v>
      </c>
    </row>
    <row r="64" spans="1:62" x14ac:dyDescent="0.2">
      <c r="A64">
        <v>63</v>
      </c>
      <c r="B64" t="s">
        <v>705</v>
      </c>
      <c r="C64" t="s">
        <v>180</v>
      </c>
      <c r="D64" t="s">
        <v>181</v>
      </c>
      <c r="E64" t="s">
        <v>641</v>
      </c>
      <c r="F64" t="s">
        <v>644</v>
      </c>
      <c r="G64" t="s">
        <v>1158</v>
      </c>
      <c r="H64">
        <v>1999</v>
      </c>
      <c r="I64" t="s">
        <v>1089</v>
      </c>
      <c r="J64" t="s">
        <v>1065</v>
      </c>
      <c r="K64" t="s">
        <v>911</v>
      </c>
      <c r="L64" t="s">
        <v>516</v>
      </c>
      <c r="M64">
        <v>60496718</v>
      </c>
      <c r="N64" t="s">
        <v>64</v>
      </c>
      <c r="O64" t="s">
        <v>1172</v>
      </c>
      <c r="P64">
        <v>63.8</v>
      </c>
      <c r="Q64" t="s">
        <v>47</v>
      </c>
      <c r="R64" s="17" t="s">
        <v>1503</v>
      </c>
      <c r="S64">
        <v>3.4000000000000002E-2</v>
      </c>
      <c r="T64">
        <v>24673.200000000001</v>
      </c>
      <c r="U64">
        <v>24930</v>
      </c>
      <c r="V64">
        <v>0.80800000000000005</v>
      </c>
      <c r="W64">
        <v>32.299999999999997</v>
      </c>
      <c r="X64">
        <v>72</v>
      </c>
      <c r="Y64" s="12">
        <v>2.7419300000000001E-2</v>
      </c>
      <c r="Z64" t="s">
        <v>19</v>
      </c>
      <c r="AA64">
        <v>8000000</v>
      </c>
      <c r="AB64">
        <v>88</v>
      </c>
      <c r="AD64">
        <v>3400011</v>
      </c>
      <c r="AE64" s="17">
        <v>5.6201577745093545E-2</v>
      </c>
      <c r="AF64" t="s">
        <v>2</v>
      </c>
      <c r="AI64" s="13">
        <v>6500000</v>
      </c>
      <c r="AJ64" t="s">
        <v>16</v>
      </c>
      <c r="AK64" t="s">
        <v>8</v>
      </c>
      <c r="AL64" t="s">
        <v>631</v>
      </c>
      <c r="AM64" t="s">
        <v>47</v>
      </c>
      <c r="AN64" t="s">
        <v>835</v>
      </c>
      <c r="AO64" t="s">
        <v>5</v>
      </c>
      <c r="AP64" t="s">
        <v>1143</v>
      </c>
      <c r="AQ64" t="s">
        <v>9</v>
      </c>
      <c r="AR64" t="s">
        <v>624</v>
      </c>
      <c r="AS64" t="s">
        <v>1025</v>
      </c>
      <c r="AT64" t="s">
        <v>846</v>
      </c>
      <c r="AU64" t="s">
        <v>13</v>
      </c>
      <c r="AV64">
        <v>3</v>
      </c>
      <c r="AW64" t="s">
        <v>7</v>
      </c>
      <c r="AX64">
        <f>VLOOKUP(AW64,Metric_Codes!$C$91:$D$95,2,FALSE)</f>
        <v>3</v>
      </c>
      <c r="AY64" t="s">
        <v>32</v>
      </c>
      <c r="AZ64" t="s">
        <v>845</v>
      </c>
      <c r="BA64">
        <v>6</v>
      </c>
      <c r="BB64" t="s">
        <v>7</v>
      </c>
      <c r="BC64">
        <f>VLOOKUP(BB64,Metric_Codes!$C$91:$D$95,2,FALSE)</f>
        <v>3</v>
      </c>
      <c r="BD64" t="s">
        <v>7</v>
      </c>
      <c r="BE64">
        <f>VLOOKUP(BD64,Metric_Codes!$C$91:$D$95,2,FALSE)</f>
        <v>3</v>
      </c>
      <c r="BF64">
        <f t="shared" si="0"/>
        <v>3</v>
      </c>
      <c r="BG64" t="s">
        <v>32</v>
      </c>
      <c r="BH64" t="s">
        <v>1050</v>
      </c>
      <c r="BI64">
        <v>9</v>
      </c>
      <c r="BJ64" t="s">
        <v>912</v>
      </c>
    </row>
    <row r="65" spans="1:62" x14ac:dyDescent="0.2">
      <c r="A65">
        <v>64</v>
      </c>
      <c r="B65" t="s">
        <v>706</v>
      </c>
      <c r="C65" t="s">
        <v>461</v>
      </c>
      <c r="D65" t="s">
        <v>462</v>
      </c>
      <c r="E65" t="s">
        <v>641</v>
      </c>
      <c r="F65" t="s">
        <v>644</v>
      </c>
      <c r="G65" t="s">
        <v>1158</v>
      </c>
      <c r="H65">
        <v>1999</v>
      </c>
      <c r="I65" t="s">
        <v>753</v>
      </c>
      <c r="J65" t="s">
        <v>1064</v>
      </c>
      <c r="K65" t="s">
        <v>913</v>
      </c>
      <c r="L65" t="s">
        <v>1041</v>
      </c>
      <c r="M65">
        <v>279040000</v>
      </c>
      <c r="N65" t="s">
        <v>64</v>
      </c>
      <c r="O65" t="s">
        <v>1172</v>
      </c>
      <c r="P65">
        <v>76.8</v>
      </c>
      <c r="Q65" t="s">
        <v>47</v>
      </c>
      <c r="R65" s="17" t="s">
        <v>1503</v>
      </c>
      <c r="S65">
        <v>4.7E-2</v>
      </c>
      <c r="T65">
        <v>34620.9</v>
      </c>
      <c r="U65">
        <v>34850</v>
      </c>
      <c r="V65">
        <v>0.79700000000000004</v>
      </c>
      <c r="W65">
        <v>41.5</v>
      </c>
      <c r="X65">
        <v>71</v>
      </c>
      <c r="Y65" s="12">
        <v>4.2068599999999998E-2</v>
      </c>
      <c r="Z65" t="s">
        <v>599</v>
      </c>
      <c r="AA65">
        <v>7000000</v>
      </c>
      <c r="AB65">
        <v>70</v>
      </c>
      <c r="AD65">
        <v>3000010</v>
      </c>
      <c r="AE65" s="17">
        <v>1.0751182626146789E-2</v>
      </c>
      <c r="AF65" t="s">
        <v>20</v>
      </c>
      <c r="AG65" s="13">
        <v>4433000</v>
      </c>
      <c r="AH65">
        <v>459000</v>
      </c>
      <c r="AI65" s="13">
        <v>2200000</v>
      </c>
      <c r="AJ65" t="s">
        <v>3</v>
      </c>
      <c r="AK65" t="s">
        <v>8</v>
      </c>
      <c r="AL65" t="s">
        <v>631</v>
      </c>
      <c r="AM65" t="s">
        <v>47</v>
      </c>
      <c r="AN65" t="s">
        <v>835</v>
      </c>
      <c r="AO65" t="s">
        <v>615</v>
      </c>
      <c r="AP65" t="s">
        <v>1143</v>
      </c>
      <c r="AQ65" t="s">
        <v>9</v>
      </c>
      <c r="AR65" t="s">
        <v>624</v>
      </c>
      <c r="AS65" t="s">
        <v>1025</v>
      </c>
      <c r="AT65" t="s">
        <v>629</v>
      </c>
      <c r="AU65" t="s">
        <v>13</v>
      </c>
      <c r="AV65">
        <v>3</v>
      </c>
      <c r="AW65" t="s">
        <v>7</v>
      </c>
      <c r="AX65">
        <f>VLOOKUP(AW65,Metric_Codes!$C$91:$D$95,2,FALSE)</f>
        <v>3</v>
      </c>
      <c r="AY65" t="s">
        <v>32</v>
      </c>
      <c r="AZ65" t="s">
        <v>845</v>
      </c>
      <c r="BA65">
        <v>6</v>
      </c>
      <c r="BB65" t="s">
        <v>7</v>
      </c>
      <c r="BC65">
        <f>VLOOKUP(BB65,Metric_Codes!$C$91:$D$95,2,FALSE)</f>
        <v>3</v>
      </c>
      <c r="BD65" t="s">
        <v>11</v>
      </c>
      <c r="BE65">
        <f>VLOOKUP(BD65,Metric_Codes!$C$91:$D$95,2,FALSE)</f>
        <v>4</v>
      </c>
      <c r="BF65">
        <f t="shared" si="0"/>
        <v>3.5</v>
      </c>
      <c r="BG65" t="s">
        <v>32</v>
      </c>
      <c r="BH65" t="s">
        <v>1050</v>
      </c>
      <c r="BI65">
        <v>10</v>
      </c>
      <c r="BJ65" t="s">
        <v>914</v>
      </c>
    </row>
    <row r="66" spans="1:62" x14ac:dyDescent="0.2">
      <c r="A66">
        <v>65</v>
      </c>
      <c r="B66" t="s">
        <v>707</v>
      </c>
      <c r="C66" t="s">
        <v>240</v>
      </c>
      <c r="D66" t="s">
        <v>241</v>
      </c>
      <c r="E66" t="s">
        <v>641</v>
      </c>
      <c r="F66" t="s">
        <v>644</v>
      </c>
      <c r="G66" t="s">
        <v>1158</v>
      </c>
      <c r="H66">
        <v>1999</v>
      </c>
      <c r="I66" t="s">
        <v>751</v>
      </c>
      <c r="J66" t="s">
        <v>1063</v>
      </c>
      <c r="K66" t="s">
        <v>915</v>
      </c>
      <c r="L66" t="s">
        <v>1041</v>
      </c>
      <c r="M66">
        <v>126631000</v>
      </c>
      <c r="N66" t="s">
        <v>67</v>
      </c>
      <c r="O66" t="s">
        <v>1172</v>
      </c>
      <c r="P66">
        <v>72.099999999999994</v>
      </c>
      <c r="Q66" t="s">
        <v>47</v>
      </c>
      <c r="R66" s="17" t="s">
        <v>1505</v>
      </c>
      <c r="S66">
        <v>-3.0000000000000001E-3</v>
      </c>
      <c r="T66">
        <v>36026.6</v>
      </c>
      <c r="U66">
        <v>25630</v>
      </c>
      <c r="V66">
        <v>0.876</v>
      </c>
      <c r="W66">
        <v>32.1</v>
      </c>
      <c r="X66">
        <v>73</v>
      </c>
      <c r="Y66" s="12">
        <v>2.2589060000000001E-2</v>
      </c>
      <c r="Z66" t="s">
        <v>599</v>
      </c>
      <c r="AA66">
        <v>5000000</v>
      </c>
      <c r="AB66">
        <v>26</v>
      </c>
      <c r="AC66">
        <v>6900</v>
      </c>
      <c r="AD66">
        <v>27338</v>
      </c>
      <c r="AE66" s="17">
        <v>2.15887105053265E-4</v>
      </c>
      <c r="AF66" t="s">
        <v>20</v>
      </c>
      <c r="AI66" s="13">
        <v>3500000</v>
      </c>
      <c r="AJ66" t="s">
        <v>16</v>
      </c>
      <c r="AK66" t="s">
        <v>8</v>
      </c>
      <c r="AL66" t="s">
        <v>600</v>
      </c>
      <c r="AM66" t="s">
        <v>814</v>
      </c>
      <c r="AN66" t="s">
        <v>835</v>
      </c>
      <c r="AO66" t="s">
        <v>615</v>
      </c>
      <c r="AP66" t="s">
        <v>1143</v>
      </c>
      <c r="AQ66" t="s">
        <v>9</v>
      </c>
      <c r="AR66" t="s">
        <v>624</v>
      </c>
      <c r="AS66" t="s">
        <v>1025</v>
      </c>
      <c r="AT66" t="s">
        <v>629</v>
      </c>
      <c r="AU66" t="s">
        <v>13</v>
      </c>
      <c r="AV66">
        <v>3</v>
      </c>
      <c r="AW66" t="s">
        <v>7</v>
      </c>
      <c r="AX66">
        <f>VLOOKUP(AW66,Metric_Codes!$C$91:$D$95,2,FALSE)</f>
        <v>3</v>
      </c>
      <c r="AY66" t="s">
        <v>32</v>
      </c>
      <c r="AZ66" t="s">
        <v>845</v>
      </c>
      <c r="BA66">
        <v>9</v>
      </c>
      <c r="BB66" t="s">
        <v>7</v>
      </c>
      <c r="BC66">
        <f>VLOOKUP(BB66,Metric_Codes!$C$91:$D$95,2,FALSE)</f>
        <v>3</v>
      </c>
      <c r="BD66" t="s">
        <v>7</v>
      </c>
      <c r="BE66">
        <f>VLOOKUP(BD66,Metric_Codes!$C$91:$D$95,2,FALSE)</f>
        <v>3</v>
      </c>
      <c r="BF66">
        <f t="shared" ref="BF66:BF104" si="1">(BC66+BE66)/2</f>
        <v>3</v>
      </c>
      <c r="BG66" t="s">
        <v>32</v>
      </c>
      <c r="BH66" t="s">
        <v>1051</v>
      </c>
      <c r="BI66">
        <v>2</v>
      </c>
      <c r="BJ66" t="s">
        <v>1032</v>
      </c>
    </row>
    <row r="67" spans="1:62" x14ac:dyDescent="0.2">
      <c r="A67">
        <v>66</v>
      </c>
      <c r="B67" t="s">
        <v>708</v>
      </c>
      <c r="C67" t="s">
        <v>152</v>
      </c>
      <c r="D67" t="s">
        <v>153</v>
      </c>
      <c r="E67" t="s">
        <v>641</v>
      </c>
      <c r="F67" t="s">
        <v>644</v>
      </c>
      <c r="G67" t="s">
        <v>1158</v>
      </c>
      <c r="H67">
        <v>1999</v>
      </c>
      <c r="I67" t="s">
        <v>1090</v>
      </c>
      <c r="J67" t="s">
        <v>1065</v>
      </c>
      <c r="K67" t="s">
        <v>916</v>
      </c>
      <c r="L67" t="s">
        <v>516</v>
      </c>
      <c r="M67">
        <v>5321799</v>
      </c>
      <c r="N67" t="s">
        <v>64</v>
      </c>
      <c r="O67" t="s">
        <v>1173</v>
      </c>
      <c r="P67">
        <v>76.7</v>
      </c>
      <c r="Q67" t="s">
        <v>47</v>
      </c>
      <c r="R67" s="17" t="s">
        <v>1503</v>
      </c>
      <c r="S67">
        <v>2.9000000000000001E-2</v>
      </c>
      <c r="T67">
        <v>33440.800000000003</v>
      </c>
      <c r="U67">
        <v>26430</v>
      </c>
      <c r="V67">
        <v>0.86</v>
      </c>
      <c r="W67">
        <v>28.2</v>
      </c>
      <c r="X67">
        <v>88</v>
      </c>
      <c r="Y67" s="12">
        <v>2.280509E-2</v>
      </c>
      <c r="Z67" t="s">
        <v>19</v>
      </c>
      <c r="AA67">
        <v>3000000</v>
      </c>
      <c r="AB67">
        <v>20</v>
      </c>
      <c r="AE67" s="17" t="e">
        <v>#VALUE!</v>
      </c>
      <c r="AF67" t="s">
        <v>2</v>
      </c>
      <c r="AI67" s="13">
        <v>2000000</v>
      </c>
      <c r="AJ67" t="s">
        <v>16</v>
      </c>
      <c r="AK67" t="s">
        <v>8</v>
      </c>
      <c r="AL67" t="s">
        <v>631</v>
      </c>
      <c r="AM67" t="s">
        <v>47</v>
      </c>
      <c r="AN67" t="s">
        <v>835</v>
      </c>
      <c r="AO67" t="s">
        <v>5</v>
      </c>
      <c r="AP67" t="s">
        <v>1143</v>
      </c>
      <c r="AQ67" t="s">
        <v>9</v>
      </c>
      <c r="AR67" t="s">
        <v>624</v>
      </c>
      <c r="AS67" t="s">
        <v>1025</v>
      </c>
      <c r="AT67" t="s">
        <v>627</v>
      </c>
      <c r="AU67" t="s">
        <v>13</v>
      </c>
      <c r="AV67">
        <v>3</v>
      </c>
      <c r="AW67" t="s">
        <v>7</v>
      </c>
      <c r="AX67">
        <f>VLOOKUP(AW67,Metric_Codes!$C$91:$D$95,2,FALSE)</f>
        <v>3</v>
      </c>
      <c r="AY67" t="s">
        <v>32</v>
      </c>
      <c r="AZ67" t="s">
        <v>845</v>
      </c>
      <c r="BA67">
        <v>6</v>
      </c>
      <c r="BB67" t="s">
        <v>7</v>
      </c>
      <c r="BC67">
        <f>VLOOKUP(BB67,Metric_Codes!$C$91:$D$95,2,FALSE)</f>
        <v>3</v>
      </c>
      <c r="BD67" t="s">
        <v>7</v>
      </c>
      <c r="BE67">
        <f>VLOOKUP(BD67,Metric_Codes!$C$91:$D$95,2,FALSE)</f>
        <v>3</v>
      </c>
      <c r="BF67">
        <f t="shared" si="1"/>
        <v>3</v>
      </c>
      <c r="BG67" t="s">
        <v>32</v>
      </c>
      <c r="BH67" t="s">
        <v>1050</v>
      </c>
      <c r="BI67">
        <v>2</v>
      </c>
      <c r="BJ67" t="s">
        <v>919</v>
      </c>
    </row>
    <row r="68" spans="1:62" x14ac:dyDescent="0.2">
      <c r="A68">
        <v>67</v>
      </c>
      <c r="B68" t="s">
        <v>709</v>
      </c>
      <c r="C68" t="s">
        <v>251</v>
      </c>
      <c r="D68" t="s">
        <v>252</v>
      </c>
      <c r="E68" t="s">
        <v>641</v>
      </c>
      <c r="F68" t="s">
        <v>644</v>
      </c>
      <c r="G68" t="s">
        <v>1158</v>
      </c>
      <c r="H68">
        <v>2000</v>
      </c>
      <c r="I68" t="s">
        <v>917</v>
      </c>
      <c r="J68" t="s">
        <v>1078</v>
      </c>
      <c r="L68" t="s">
        <v>516</v>
      </c>
      <c r="M68">
        <v>22929075</v>
      </c>
      <c r="N68" t="s">
        <v>33</v>
      </c>
      <c r="O68" t="s">
        <v>1173</v>
      </c>
      <c r="P68">
        <v>5.9</v>
      </c>
      <c r="Q68" t="s">
        <v>32</v>
      </c>
      <c r="R68" s="17" t="s">
        <v>1505</v>
      </c>
      <c r="X68">
        <v>14</v>
      </c>
      <c r="Y68" s="12">
        <v>2.5442349999999999E-2</v>
      </c>
      <c r="Z68" t="s">
        <v>601</v>
      </c>
      <c r="AA68">
        <v>6000000</v>
      </c>
      <c r="AB68">
        <v>46</v>
      </c>
      <c r="AC68">
        <v>147000</v>
      </c>
      <c r="AD68">
        <v>627180</v>
      </c>
      <c r="AE68" s="17">
        <v>2.7353044115386249E-2</v>
      </c>
      <c r="AF68" t="s">
        <v>18</v>
      </c>
      <c r="AG68"/>
      <c r="AK68" t="s">
        <v>4</v>
      </c>
      <c r="AL68" t="s">
        <v>1052</v>
      </c>
      <c r="AM68" t="s">
        <v>47</v>
      </c>
      <c r="AN68" t="s">
        <v>831</v>
      </c>
      <c r="AO68" t="s">
        <v>5</v>
      </c>
      <c r="AP68" t="s">
        <v>1140</v>
      </c>
      <c r="AQ68" t="s">
        <v>6</v>
      </c>
      <c r="AR68" t="s">
        <v>623</v>
      </c>
      <c r="AT68" t="s">
        <v>846</v>
      </c>
      <c r="BH68" t="s">
        <v>1037</v>
      </c>
      <c r="BI68">
        <v>0</v>
      </c>
      <c r="BJ68" t="s">
        <v>918</v>
      </c>
    </row>
    <row r="69" spans="1:62" x14ac:dyDescent="0.2">
      <c r="A69">
        <v>68</v>
      </c>
      <c r="B69" t="s">
        <v>710</v>
      </c>
      <c r="C69" t="s">
        <v>212</v>
      </c>
      <c r="D69" t="s">
        <v>213</v>
      </c>
      <c r="E69" t="s">
        <v>641</v>
      </c>
      <c r="F69" t="s">
        <v>644</v>
      </c>
      <c r="G69" t="s">
        <v>1158</v>
      </c>
      <c r="H69">
        <v>2004</v>
      </c>
      <c r="I69" t="s">
        <v>749</v>
      </c>
      <c r="J69" t="s">
        <v>1065</v>
      </c>
      <c r="K69" t="s">
        <v>920</v>
      </c>
      <c r="L69" t="s">
        <v>516</v>
      </c>
      <c r="M69">
        <v>9119178</v>
      </c>
      <c r="N69" t="s">
        <v>33</v>
      </c>
      <c r="O69" t="s">
        <v>1172</v>
      </c>
      <c r="P69">
        <v>52.7</v>
      </c>
      <c r="Q69" t="s">
        <v>32</v>
      </c>
      <c r="R69" s="17" t="s">
        <v>1505</v>
      </c>
      <c r="S69">
        <v>-3.5000000000000003E-2</v>
      </c>
      <c r="T69">
        <v>387.9</v>
      </c>
      <c r="U69">
        <v>1340</v>
      </c>
      <c r="V69">
        <v>0.30399999999999999</v>
      </c>
      <c r="W69">
        <v>41.1</v>
      </c>
      <c r="X69">
        <v>20</v>
      </c>
      <c r="Y69" s="12">
        <v>0</v>
      </c>
      <c r="Z69" t="s">
        <v>601</v>
      </c>
      <c r="AA69">
        <v>50000</v>
      </c>
      <c r="AB69">
        <v>3006</v>
      </c>
      <c r="AC69">
        <v>250000</v>
      </c>
      <c r="AD69">
        <v>315594</v>
      </c>
      <c r="AE69" s="17">
        <v>3.4607724512011939E-2</v>
      </c>
      <c r="AF69" t="s">
        <v>12</v>
      </c>
      <c r="AG69"/>
      <c r="AH69">
        <v>2046</v>
      </c>
      <c r="AK69" t="s">
        <v>24</v>
      </c>
      <c r="AL69" t="s">
        <v>1052</v>
      </c>
      <c r="AM69" t="s">
        <v>47</v>
      </c>
      <c r="AN69" t="s">
        <v>832</v>
      </c>
      <c r="AO69" t="s">
        <v>625</v>
      </c>
      <c r="AP69" t="s">
        <v>1140</v>
      </c>
      <c r="AQ69" t="s">
        <v>6</v>
      </c>
      <c r="AR69" t="s">
        <v>622</v>
      </c>
      <c r="AS69" t="s">
        <v>1022</v>
      </c>
      <c r="AT69" t="s">
        <v>846</v>
      </c>
      <c r="AU69" t="s">
        <v>22</v>
      </c>
      <c r="AV69">
        <v>18</v>
      </c>
      <c r="AW69" t="s">
        <v>7</v>
      </c>
      <c r="AX69">
        <f>VLOOKUP(AW69,Metric_Codes!$C$91:$D$95,2,FALSE)</f>
        <v>3</v>
      </c>
      <c r="AY69" t="s">
        <v>32</v>
      </c>
      <c r="AZ69" t="s">
        <v>10</v>
      </c>
      <c r="BA69">
        <v>36</v>
      </c>
      <c r="BB69" t="s">
        <v>7</v>
      </c>
      <c r="BC69">
        <f>VLOOKUP(BB69,Metric_Codes!$C$91:$D$95,2,FALSE)</f>
        <v>3</v>
      </c>
      <c r="BD69" t="s">
        <v>7</v>
      </c>
      <c r="BE69">
        <f>VLOOKUP(BD69,Metric_Codes!$C$91:$D$95,2,FALSE)</f>
        <v>3</v>
      </c>
      <c r="BF69">
        <f t="shared" si="1"/>
        <v>3</v>
      </c>
      <c r="BG69" t="s">
        <v>32</v>
      </c>
      <c r="BH69" t="s">
        <v>1037</v>
      </c>
      <c r="BI69">
        <v>9</v>
      </c>
      <c r="BJ69" t="s">
        <v>930</v>
      </c>
    </row>
    <row r="70" spans="1:62" x14ac:dyDescent="0.2">
      <c r="A70">
        <v>69</v>
      </c>
      <c r="B70" t="s">
        <v>711</v>
      </c>
      <c r="C70" t="s">
        <v>317</v>
      </c>
      <c r="D70" t="s">
        <v>318</v>
      </c>
      <c r="E70" t="s">
        <v>641</v>
      </c>
      <c r="F70" t="s">
        <v>644</v>
      </c>
      <c r="G70" t="s">
        <v>1158</v>
      </c>
      <c r="H70">
        <v>2008</v>
      </c>
      <c r="I70" t="s">
        <v>753</v>
      </c>
      <c r="J70" t="s">
        <v>1064</v>
      </c>
      <c r="K70" t="s">
        <v>921</v>
      </c>
      <c r="L70" t="s">
        <v>1041</v>
      </c>
      <c r="M70">
        <v>49479752</v>
      </c>
      <c r="N70" t="s">
        <v>33</v>
      </c>
      <c r="O70" t="s">
        <v>1172</v>
      </c>
      <c r="P70">
        <v>53.6</v>
      </c>
      <c r="Q70" t="s">
        <v>51</v>
      </c>
      <c r="R70" s="17" t="s">
        <v>1503</v>
      </c>
      <c r="S70">
        <v>0.10299999999999999</v>
      </c>
      <c r="T70">
        <v>644</v>
      </c>
      <c r="U70">
        <v>2990</v>
      </c>
      <c r="V70">
        <v>0.46600000000000003</v>
      </c>
      <c r="W70">
        <v>38.1</v>
      </c>
      <c r="X70">
        <v>29</v>
      </c>
      <c r="Y70" s="12">
        <v>0</v>
      </c>
      <c r="Z70" t="s">
        <v>1</v>
      </c>
      <c r="AA70">
        <v>12900000</v>
      </c>
      <c r="AB70">
        <v>138366</v>
      </c>
      <c r="AD70">
        <v>2420000</v>
      </c>
      <c r="AE70" s="17">
        <v>4.8908895097129833E-2</v>
      </c>
      <c r="AF70" t="s">
        <v>18</v>
      </c>
      <c r="AG70"/>
      <c r="AK70" t="s">
        <v>4</v>
      </c>
      <c r="AL70" t="s">
        <v>1052</v>
      </c>
      <c r="AM70" t="s">
        <v>47</v>
      </c>
      <c r="AN70" t="s">
        <v>831</v>
      </c>
      <c r="AO70" t="s">
        <v>5</v>
      </c>
      <c r="AP70" t="s">
        <v>1140</v>
      </c>
      <c r="AQ70" t="s">
        <v>6</v>
      </c>
      <c r="AR70" t="s">
        <v>623</v>
      </c>
      <c r="AS70" t="s">
        <v>1022</v>
      </c>
      <c r="AT70" t="s">
        <v>629</v>
      </c>
      <c r="AU70" t="s">
        <v>22</v>
      </c>
      <c r="AV70">
        <v>18</v>
      </c>
      <c r="AW70" t="s">
        <v>7</v>
      </c>
      <c r="AX70">
        <f>VLOOKUP(AW70,Metric_Codes!$C$91:$D$95,2,FALSE)</f>
        <v>3</v>
      </c>
      <c r="AY70" t="s">
        <v>32</v>
      </c>
      <c r="AZ70" t="s">
        <v>10</v>
      </c>
      <c r="BA70">
        <v>36</v>
      </c>
      <c r="BB70" t="s">
        <v>7</v>
      </c>
      <c r="BC70">
        <f>VLOOKUP(BB70,Metric_Codes!$C$91:$D$95,2,FALSE)</f>
        <v>3</v>
      </c>
      <c r="BD70" t="s">
        <v>7</v>
      </c>
      <c r="BE70">
        <f>VLOOKUP(BD70,Metric_Codes!$C$91:$D$95,2,FALSE)</f>
        <v>3</v>
      </c>
      <c r="BF70">
        <f t="shared" si="1"/>
        <v>3</v>
      </c>
      <c r="BG70" t="s">
        <v>32</v>
      </c>
      <c r="BH70" t="s">
        <v>1037</v>
      </c>
      <c r="BI70">
        <v>9</v>
      </c>
      <c r="BJ70" t="s">
        <v>922</v>
      </c>
    </row>
    <row r="71" spans="1:62" x14ac:dyDescent="0.2">
      <c r="A71">
        <v>70</v>
      </c>
      <c r="B71" t="s">
        <v>712</v>
      </c>
      <c r="C71" t="s">
        <v>403</v>
      </c>
      <c r="D71" t="s">
        <v>404</v>
      </c>
      <c r="E71" t="s">
        <v>641</v>
      </c>
      <c r="F71" t="s">
        <v>644</v>
      </c>
      <c r="G71" t="s">
        <v>1158</v>
      </c>
      <c r="H71">
        <v>2009</v>
      </c>
      <c r="I71" t="s">
        <v>1091</v>
      </c>
      <c r="J71" t="s">
        <v>1064</v>
      </c>
      <c r="K71" t="s">
        <v>923</v>
      </c>
      <c r="L71" t="s">
        <v>1041</v>
      </c>
      <c r="M71">
        <v>46362946</v>
      </c>
      <c r="N71" t="s">
        <v>64</v>
      </c>
      <c r="O71" t="s">
        <v>1154</v>
      </c>
      <c r="P71">
        <v>65.7</v>
      </c>
      <c r="Q71" t="s">
        <v>47</v>
      </c>
      <c r="R71" s="17" t="s">
        <v>1505</v>
      </c>
      <c r="S71">
        <v>-3.5999999999999997E-2</v>
      </c>
      <c r="T71">
        <v>32334</v>
      </c>
      <c r="U71">
        <v>31790</v>
      </c>
      <c r="V71">
        <v>0.754</v>
      </c>
      <c r="W71">
        <v>36.200000000000003</v>
      </c>
      <c r="X71">
        <v>58</v>
      </c>
      <c r="Y71" s="12">
        <v>2.862988E-2</v>
      </c>
      <c r="Z71" t="s">
        <v>19</v>
      </c>
      <c r="AA71">
        <v>1900000</v>
      </c>
      <c r="AB71">
        <v>14</v>
      </c>
      <c r="AE71" s="17" t="e">
        <v>#VALUE!</v>
      </c>
      <c r="AF71" t="s">
        <v>20</v>
      </c>
      <c r="AI71" s="13">
        <v>1500000</v>
      </c>
      <c r="AJ71" t="s">
        <v>3</v>
      </c>
      <c r="AK71" t="s">
        <v>8</v>
      </c>
      <c r="AL71" t="s">
        <v>600</v>
      </c>
      <c r="AM71" t="s">
        <v>814</v>
      </c>
      <c r="AN71" t="s">
        <v>835</v>
      </c>
      <c r="AO71" t="s">
        <v>5</v>
      </c>
      <c r="AP71" t="s">
        <v>1143</v>
      </c>
      <c r="AQ71" t="s">
        <v>9</v>
      </c>
      <c r="AR71" t="s">
        <v>624</v>
      </c>
      <c r="AS71" t="s">
        <v>1025</v>
      </c>
      <c r="AT71" t="s">
        <v>627</v>
      </c>
      <c r="AU71" t="s">
        <v>845</v>
      </c>
      <c r="AV71">
        <v>9</v>
      </c>
      <c r="AW71" t="s">
        <v>7</v>
      </c>
      <c r="AX71">
        <f>VLOOKUP(AW71,Metric_Codes!$C$91:$D$95,2,FALSE)</f>
        <v>3</v>
      </c>
      <c r="AY71" t="s">
        <v>32</v>
      </c>
      <c r="AZ71" t="s">
        <v>22</v>
      </c>
      <c r="BA71">
        <v>18</v>
      </c>
      <c r="BB71" t="s">
        <v>7</v>
      </c>
      <c r="BC71">
        <f>VLOOKUP(BB71,Metric_Codes!$C$91:$D$95,2,FALSE)</f>
        <v>3</v>
      </c>
      <c r="BD71" t="s">
        <v>7</v>
      </c>
      <c r="BE71">
        <f>VLOOKUP(BD71,Metric_Codes!$C$91:$D$95,2,FALSE)</f>
        <v>3</v>
      </c>
      <c r="BF71">
        <f t="shared" si="1"/>
        <v>3</v>
      </c>
      <c r="BG71" t="s">
        <v>32</v>
      </c>
      <c r="BH71" t="s">
        <v>600</v>
      </c>
      <c r="BI71">
        <v>7</v>
      </c>
      <c r="BJ71" t="s">
        <v>924</v>
      </c>
    </row>
    <row r="72" spans="1:62" x14ac:dyDescent="0.2">
      <c r="A72">
        <v>71</v>
      </c>
      <c r="B72" t="s">
        <v>713</v>
      </c>
      <c r="C72" t="s">
        <v>427</v>
      </c>
      <c r="D72" t="s">
        <v>428</v>
      </c>
      <c r="E72" t="s">
        <v>641</v>
      </c>
      <c r="F72" t="s">
        <v>644</v>
      </c>
      <c r="G72" t="s">
        <v>1158</v>
      </c>
      <c r="H72">
        <v>2009</v>
      </c>
      <c r="I72" t="s">
        <v>917</v>
      </c>
      <c r="J72" t="s">
        <v>1078</v>
      </c>
      <c r="K72" t="s">
        <v>925</v>
      </c>
      <c r="L72" t="s">
        <v>1041</v>
      </c>
      <c r="M72">
        <v>22974350</v>
      </c>
      <c r="N72" t="s">
        <v>149</v>
      </c>
      <c r="O72" t="s">
        <v>1172</v>
      </c>
      <c r="P72">
        <v>77.3</v>
      </c>
      <c r="Q72" t="s">
        <v>47</v>
      </c>
      <c r="R72" s="17" t="s">
        <v>1505</v>
      </c>
      <c r="S72">
        <v>-1.6E-2</v>
      </c>
      <c r="T72">
        <v>16960</v>
      </c>
      <c r="U72">
        <v>17531</v>
      </c>
      <c r="V72" t="s">
        <v>0</v>
      </c>
      <c r="W72">
        <v>46.5</v>
      </c>
      <c r="X72">
        <v>63</v>
      </c>
      <c r="Y72" s="12">
        <v>3.0235649999999999E-2</v>
      </c>
      <c r="Z72" t="s">
        <v>601</v>
      </c>
      <c r="AA72">
        <v>3300000</v>
      </c>
      <c r="AB72">
        <v>673</v>
      </c>
      <c r="AD72">
        <v>2307523</v>
      </c>
      <c r="AE72" s="17">
        <v>0.10043909838580851</v>
      </c>
      <c r="AF72" t="s">
        <v>18</v>
      </c>
      <c r="AI72" s="13">
        <v>91000</v>
      </c>
      <c r="AJ72" t="s">
        <v>3</v>
      </c>
      <c r="AK72" t="s">
        <v>4</v>
      </c>
      <c r="AL72" t="s">
        <v>1052</v>
      </c>
      <c r="AM72" t="s">
        <v>47</v>
      </c>
      <c r="AN72" t="s">
        <v>834</v>
      </c>
      <c r="AO72" t="s">
        <v>5</v>
      </c>
      <c r="AP72" t="s">
        <v>1141</v>
      </c>
      <c r="AQ72" t="s">
        <v>6</v>
      </c>
      <c r="AR72" t="s">
        <v>624</v>
      </c>
      <c r="AS72" t="s">
        <v>1030</v>
      </c>
      <c r="AT72" t="s">
        <v>629</v>
      </c>
      <c r="AU72" t="s">
        <v>22</v>
      </c>
      <c r="AV72">
        <v>18</v>
      </c>
      <c r="AW72" t="s">
        <v>7</v>
      </c>
      <c r="AX72">
        <f>VLOOKUP(AW72,Metric_Codes!$C$91:$D$95,2,FALSE)</f>
        <v>3</v>
      </c>
      <c r="AY72" t="s">
        <v>32</v>
      </c>
      <c r="AZ72" t="s">
        <v>22</v>
      </c>
      <c r="BA72">
        <v>18</v>
      </c>
      <c r="BB72" t="s">
        <v>7</v>
      </c>
      <c r="BC72">
        <f>VLOOKUP(BB72,Metric_Codes!$C$91:$D$95,2,FALSE)</f>
        <v>3</v>
      </c>
      <c r="BD72" t="s">
        <v>7</v>
      </c>
      <c r="BE72">
        <f>VLOOKUP(BD72,Metric_Codes!$C$91:$D$95,2,FALSE)</f>
        <v>3</v>
      </c>
      <c r="BF72">
        <f t="shared" si="1"/>
        <v>3</v>
      </c>
      <c r="BG72" t="s">
        <v>32</v>
      </c>
      <c r="BH72" t="s">
        <v>1037</v>
      </c>
      <c r="BI72">
        <v>2</v>
      </c>
      <c r="BJ72" t="s">
        <v>926</v>
      </c>
    </row>
    <row r="73" spans="1:62" x14ac:dyDescent="0.2">
      <c r="A73">
        <v>72</v>
      </c>
      <c r="B73" t="s">
        <v>714</v>
      </c>
      <c r="C73" t="s">
        <v>180</v>
      </c>
      <c r="D73" t="s">
        <v>181</v>
      </c>
      <c r="E73" t="s">
        <v>641</v>
      </c>
      <c r="F73" t="s">
        <v>644</v>
      </c>
      <c r="G73" t="s">
        <v>1158</v>
      </c>
      <c r="H73">
        <v>2010</v>
      </c>
      <c r="I73" t="s">
        <v>1092</v>
      </c>
      <c r="J73" t="s">
        <v>1064</v>
      </c>
      <c r="K73" t="s">
        <v>948</v>
      </c>
      <c r="L73" t="s">
        <v>1041</v>
      </c>
      <c r="M73">
        <v>65027507</v>
      </c>
      <c r="N73" t="s">
        <v>64</v>
      </c>
      <c r="O73" t="s">
        <v>1172</v>
      </c>
      <c r="P73">
        <v>63.8</v>
      </c>
      <c r="Q73" t="s">
        <v>47</v>
      </c>
      <c r="R73" s="17" t="s">
        <v>1504</v>
      </c>
      <c r="S73">
        <v>0.02</v>
      </c>
      <c r="T73">
        <v>40638.300000000003</v>
      </c>
      <c r="U73">
        <v>36730</v>
      </c>
      <c r="V73">
        <v>0.80800000000000005</v>
      </c>
      <c r="W73">
        <v>32.299999999999997</v>
      </c>
      <c r="X73">
        <v>72</v>
      </c>
      <c r="Y73" s="12">
        <v>3.0798430000000002E-2</v>
      </c>
      <c r="Z73" t="s">
        <v>19</v>
      </c>
      <c r="AA73">
        <v>4230000</v>
      </c>
      <c r="AB73">
        <v>53</v>
      </c>
      <c r="AD73">
        <v>500079</v>
      </c>
      <c r="AE73" s="17">
        <v>7.6902686735322639E-3</v>
      </c>
      <c r="AF73" t="s">
        <v>2</v>
      </c>
      <c r="AI73" s="13">
        <v>1320000</v>
      </c>
      <c r="AJ73" t="s">
        <v>16</v>
      </c>
      <c r="AK73" t="s">
        <v>8</v>
      </c>
      <c r="AL73" t="s">
        <v>631</v>
      </c>
      <c r="AM73" t="s">
        <v>47</v>
      </c>
      <c r="AN73" t="s">
        <v>835</v>
      </c>
      <c r="AO73" t="s">
        <v>5</v>
      </c>
      <c r="AP73" t="s">
        <v>1143</v>
      </c>
      <c r="AQ73" t="s">
        <v>9</v>
      </c>
      <c r="AR73" t="s">
        <v>624</v>
      </c>
      <c r="AS73" t="s">
        <v>1025</v>
      </c>
      <c r="AT73" t="s">
        <v>846</v>
      </c>
      <c r="AU73" t="s">
        <v>845</v>
      </c>
      <c r="AV73">
        <v>9</v>
      </c>
      <c r="AW73" t="s">
        <v>7</v>
      </c>
      <c r="AX73">
        <f>VLOOKUP(AW73,Metric_Codes!$C$91:$D$95,2,FALSE)</f>
        <v>3</v>
      </c>
      <c r="AY73" t="s">
        <v>32</v>
      </c>
      <c r="AZ73" t="s">
        <v>22</v>
      </c>
      <c r="BA73">
        <v>18</v>
      </c>
      <c r="BB73" t="s">
        <v>7</v>
      </c>
      <c r="BC73">
        <f>VLOOKUP(BB73,Metric_Codes!$C$91:$D$95,2,FALSE)</f>
        <v>3</v>
      </c>
      <c r="BD73" t="s">
        <v>11</v>
      </c>
      <c r="BE73">
        <f>VLOOKUP(BD73,Metric_Codes!$C$91:$D$95,2,FALSE)</f>
        <v>4</v>
      </c>
      <c r="BF73">
        <f t="shared" si="1"/>
        <v>3.5</v>
      </c>
      <c r="BG73" t="s">
        <v>32</v>
      </c>
      <c r="BH73" t="s">
        <v>1050</v>
      </c>
      <c r="BI73">
        <v>12</v>
      </c>
      <c r="BJ73" t="s">
        <v>931</v>
      </c>
    </row>
    <row r="74" spans="1:62" x14ac:dyDescent="0.2">
      <c r="A74">
        <v>73</v>
      </c>
      <c r="B74" t="s">
        <v>715</v>
      </c>
      <c r="C74" t="s">
        <v>160</v>
      </c>
      <c r="D74" t="s">
        <v>161</v>
      </c>
      <c r="E74" t="s">
        <v>657</v>
      </c>
      <c r="F74" t="s">
        <v>657</v>
      </c>
      <c r="G74" t="s">
        <v>1157</v>
      </c>
      <c r="H74">
        <v>1906</v>
      </c>
      <c r="I74" t="s">
        <v>790</v>
      </c>
      <c r="J74" t="s">
        <v>1063</v>
      </c>
      <c r="K74" t="s">
        <v>947</v>
      </c>
      <c r="L74" t="s">
        <v>1041</v>
      </c>
      <c r="M74">
        <v>4545550</v>
      </c>
      <c r="N74" t="s">
        <v>57</v>
      </c>
      <c r="O74" t="s">
        <v>1172</v>
      </c>
      <c r="P74">
        <v>46.9</v>
      </c>
      <c r="Q74" t="s">
        <v>37</v>
      </c>
      <c r="R74" s="17" t="s">
        <v>1503</v>
      </c>
      <c r="S74">
        <v>5.1200000000000002E-2</v>
      </c>
      <c r="T74">
        <v>455.27</v>
      </c>
      <c r="U74">
        <v>4450</v>
      </c>
      <c r="V74">
        <v>0.60299999999999998</v>
      </c>
      <c r="W74">
        <v>44.7</v>
      </c>
      <c r="X74">
        <v>34</v>
      </c>
      <c r="Z74" t="s">
        <v>599</v>
      </c>
      <c r="AA74">
        <v>3000</v>
      </c>
      <c r="AB74">
        <v>1000</v>
      </c>
      <c r="AE74" s="17" t="e">
        <v>#VALUE!</v>
      </c>
      <c r="AF74" t="s">
        <v>18</v>
      </c>
      <c r="AG74"/>
      <c r="AK74" t="s">
        <v>24</v>
      </c>
      <c r="AL74" t="s">
        <v>1052</v>
      </c>
      <c r="AM74" t="s">
        <v>47</v>
      </c>
      <c r="AN74" t="s">
        <v>834</v>
      </c>
      <c r="AO74" t="s">
        <v>5</v>
      </c>
      <c r="AP74" t="s">
        <v>1141</v>
      </c>
      <c r="AQ74" t="s">
        <v>6</v>
      </c>
      <c r="AR74" t="s">
        <v>623</v>
      </c>
      <c r="AS74" t="s">
        <v>1023</v>
      </c>
      <c r="AT74" t="s">
        <v>629</v>
      </c>
      <c r="AU74" t="s">
        <v>10</v>
      </c>
      <c r="AV74">
        <v>48</v>
      </c>
      <c r="AW74" t="s">
        <v>7</v>
      </c>
      <c r="AX74">
        <f>VLOOKUP(AW74,Metric_Codes!$C$91:$D$95,2,FALSE)</f>
        <v>3</v>
      </c>
      <c r="AY74" t="s">
        <v>32</v>
      </c>
      <c r="AZ74" t="s">
        <v>10</v>
      </c>
      <c r="BA74">
        <v>48</v>
      </c>
      <c r="BB74" t="s">
        <v>7</v>
      </c>
      <c r="BC74">
        <f>VLOOKUP(BB74,Metric_Codes!$C$91:$D$95,2,FALSE)</f>
        <v>3</v>
      </c>
      <c r="BD74" t="s">
        <v>11</v>
      </c>
      <c r="BE74">
        <f>VLOOKUP(BD74,Metric_Codes!$C$91:$D$95,2,FALSE)</f>
        <v>4</v>
      </c>
      <c r="BF74">
        <f t="shared" si="1"/>
        <v>3.5</v>
      </c>
      <c r="BG74" t="s">
        <v>32</v>
      </c>
      <c r="BH74" t="s">
        <v>1037</v>
      </c>
      <c r="BI74">
        <v>7</v>
      </c>
      <c r="BJ74" t="s">
        <v>944</v>
      </c>
    </row>
    <row r="75" spans="1:62" x14ac:dyDescent="0.2">
      <c r="A75">
        <v>74</v>
      </c>
      <c r="B75" t="s">
        <v>716</v>
      </c>
      <c r="C75" t="s">
        <v>236</v>
      </c>
      <c r="D75" t="s">
        <v>237</v>
      </c>
      <c r="E75" t="s">
        <v>656</v>
      </c>
      <c r="F75" t="s">
        <v>656</v>
      </c>
      <c r="G75" t="s">
        <v>1157</v>
      </c>
      <c r="H75">
        <v>1908</v>
      </c>
      <c r="I75" t="s">
        <v>791</v>
      </c>
      <c r="J75" t="s">
        <v>1064</v>
      </c>
      <c r="K75" t="s">
        <v>946</v>
      </c>
      <c r="L75" t="s">
        <v>1041</v>
      </c>
      <c r="M75">
        <v>50199700</v>
      </c>
      <c r="N75" t="s">
        <v>64</v>
      </c>
      <c r="O75" t="s">
        <v>1177</v>
      </c>
      <c r="P75">
        <v>62.2</v>
      </c>
      <c r="Q75" t="s">
        <v>47</v>
      </c>
      <c r="R75" s="17" t="s">
        <v>1503</v>
      </c>
      <c r="S75">
        <v>8.2100000000000006E-2</v>
      </c>
      <c r="T75">
        <v>804.49</v>
      </c>
      <c r="U75">
        <v>18330</v>
      </c>
      <c r="V75">
        <v>0.77100000000000002</v>
      </c>
      <c r="W75">
        <v>35.4</v>
      </c>
      <c r="X75">
        <v>52</v>
      </c>
      <c r="Z75" t="s">
        <v>1</v>
      </c>
      <c r="AA75">
        <v>116000</v>
      </c>
      <c r="AB75">
        <v>75000</v>
      </c>
      <c r="AD75">
        <v>150000</v>
      </c>
      <c r="AE75" s="17">
        <v>2.9880656657310699E-3</v>
      </c>
      <c r="AF75" t="s">
        <v>18</v>
      </c>
      <c r="AK75" t="s">
        <v>4</v>
      </c>
      <c r="AL75" t="s">
        <v>1052</v>
      </c>
      <c r="AM75" t="s">
        <v>47</v>
      </c>
      <c r="AN75" t="s">
        <v>834</v>
      </c>
      <c r="AO75" t="s">
        <v>625</v>
      </c>
      <c r="AP75" t="s">
        <v>1140</v>
      </c>
      <c r="AQ75" t="s">
        <v>9</v>
      </c>
      <c r="AR75" t="s">
        <v>623</v>
      </c>
      <c r="AS75" t="s">
        <v>1023</v>
      </c>
      <c r="AT75" t="s">
        <v>629</v>
      </c>
      <c r="AU75" t="s">
        <v>815</v>
      </c>
      <c r="AV75">
        <v>180</v>
      </c>
      <c r="AW75" t="s">
        <v>635</v>
      </c>
      <c r="AX75">
        <f>VLOOKUP(AW75,Metric_Codes!$C$91:$D$95,2,FALSE)</f>
        <v>2</v>
      </c>
      <c r="AY75" t="s">
        <v>32</v>
      </c>
      <c r="AZ75" t="s">
        <v>815</v>
      </c>
      <c r="BA75">
        <v>180</v>
      </c>
      <c r="BB75" t="s">
        <v>635</v>
      </c>
      <c r="BC75">
        <f>VLOOKUP(BB75,Metric_Codes!$C$91:$D$95,2,FALSE)</f>
        <v>2</v>
      </c>
      <c r="BD75" t="s">
        <v>11</v>
      </c>
      <c r="BE75">
        <f>VLOOKUP(BD75,Metric_Codes!$C$91:$D$95,2,FALSE)</f>
        <v>4</v>
      </c>
      <c r="BF75">
        <f t="shared" si="1"/>
        <v>3</v>
      </c>
      <c r="BG75" t="s">
        <v>32</v>
      </c>
      <c r="BH75" t="s">
        <v>1037</v>
      </c>
      <c r="BI75">
        <v>4</v>
      </c>
      <c r="BJ75" t="s">
        <v>950</v>
      </c>
    </row>
    <row r="76" spans="1:62" x14ac:dyDescent="0.2">
      <c r="A76">
        <v>75</v>
      </c>
      <c r="B76" t="s">
        <v>717</v>
      </c>
      <c r="C76" t="s">
        <v>127</v>
      </c>
      <c r="D76" t="s">
        <v>128</v>
      </c>
      <c r="E76" t="s">
        <v>657</v>
      </c>
      <c r="F76" t="s">
        <v>657</v>
      </c>
      <c r="G76" t="s">
        <v>1157</v>
      </c>
      <c r="H76">
        <v>1920</v>
      </c>
      <c r="I76" t="s">
        <v>792</v>
      </c>
      <c r="J76" t="s">
        <v>1063</v>
      </c>
      <c r="K76" t="s">
        <v>897</v>
      </c>
      <c r="L76" t="s">
        <v>1041</v>
      </c>
      <c r="M76">
        <v>667070000</v>
      </c>
      <c r="N76" t="s">
        <v>57</v>
      </c>
      <c r="O76" t="s">
        <v>1185</v>
      </c>
      <c r="P76">
        <v>67.3</v>
      </c>
      <c r="Q76" t="s">
        <v>37</v>
      </c>
      <c r="R76" s="17" t="s">
        <v>1505</v>
      </c>
      <c r="S76">
        <v>-0.2727</v>
      </c>
      <c r="T76">
        <v>89.52</v>
      </c>
      <c r="U76">
        <v>990</v>
      </c>
      <c r="V76">
        <v>0.64300000000000002</v>
      </c>
      <c r="W76">
        <v>38.6</v>
      </c>
      <c r="X76">
        <v>39</v>
      </c>
      <c r="Y76" s="12">
        <v>0</v>
      </c>
      <c r="Z76" t="s">
        <v>14</v>
      </c>
      <c r="AA76">
        <v>1490000</v>
      </c>
      <c r="AB76">
        <v>273400</v>
      </c>
      <c r="AE76" s="17" t="e">
        <v>#VALUE!</v>
      </c>
      <c r="AF76" t="s">
        <v>18</v>
      </c>
      <c r="AG76"/>
      <c r="AK76" t="s">
        <v>24</v>
      </c>
      <c r="AL76" t="s">
        <v>1052</v>
      </c>
      <c r="AM76" t="s">
        <v>47</v>
      </c>
      <c r="AN76" t="s">
        <v>831</v>
      </c>
      <c r="AO76" t="s">
        <v>5</v>
      </c>
      <c r="AP76" t="s">
        <v>1141</v>
      </c>
      <c r="AQ76" t="s">
        <v>6</v>
      </c>
      <c r="AR76" t="s">
        <v>623</v>
      </c>
      <c r="AS76" t="s">
        <v>1022</v>
      </c>
      <c r="AT76" t="s">
        <v>629</v>
      </c>
      <c r="AU76" t="s">
        <v>816</v>
      </c>
      <c r="AV76">
        <v>96</v>
      </c>
      <c r="AW76" t="s">
        <v>7</v>
      </c>
      <c r="AX76">
        <f>VLOOKUP(AW76,Metric_Codes!$C$91:$D$95,2,FALSE)</f>
        <v>3</v>
      </c>
      <c r="AY76" t="s">
        <v>32</v>
      </c>
      <c r="AZ76" t="s">
        <v>816</v>
      </c>
      <c r="BA76">
        <v>96</v>
      </c>
      <c r="BB76" t="s">
        <v>7</v>
      </c>
      <c r="BC76">
        <f>VLOOKUP(BB76,Metric_Codes!$C$91:$D$95,2,FALSE)</f>
        <v>3</v>
      </c>
      <c r="BD76" t="s">
        <v>7</v>
      </c>
      <c r="BE76">
        <f>VLOOKUP(BD76,Metric_Codes!$C$91:$D$95,2,FALSE)</f>
        <v>3</v>
      </c>
      <c r="BF76">
        <f t="shared" si="1"/>
        <v>3</v>
      </c>
      <c r="BG76" t="s">
        <v>32</v>
      </c>
      <c r="BH76" t="s">
        <v>1037</v>
      </c>
      <c r="BI76">
        <v>6</v>
      </c>
      <c r="BJ76" t="s">
        <v>945</v>
      </c>
    </row>
    <row r="77" spans="1:62" x14ac:dyDescent="0.2">
      <c r="A77">
        <v>76</v>
      </c>
      <c r="B77" t="s">
        <v>718</v>
      </c>
      <c r="C77" t="s">
        <v>125</v>
      </c>
      <c r="D77" t="s">
        <v>126</v>
      </c>
      <c r="E77" t="s">
        <v>656</v>
      </c>
      <c r="F77" t="s">
        <v>656</v>
      </c>
      <c r="G77" t="s">
        <v>1157</v>
      </c>
      <c r="H77">
        <v>1922</v>
      </c>
      <c r="I77" t="s">
        <v>793</v>
      </c>
      <c r="J77" t="s">
        <v>1063</v>
      </c>
      <c r="K77" t="s">
        <v>952</v>
      </c>
      <c r="L77" t="s">
        <v>1041</v>
      </c>
      <c r="M77">
        <v>7716625</v>
      </c>
      <c r="N77" t="s">
        <v>67</v>
      </c>
      <c r="O77" t="s">
        <v>1172</v>
      </c>
      <c r="P77">
        <v>58.4</v>
      </c>
      <c r="Q77" t="s">
        <v>47</v>
      </c>
      <c r="R77" s="17" t="s">
        <v>1503</v>
      </c>
      <c r="S77">
        <v>5.2499999999999998E-2</v>
      </c>
      <c r="T77">
        <v>532.62</v>
      </c>
      <c r="U77">
        <v>4270</v>
      </c>
      <c r="V77">
        <v>0.71</v>
      </c>
      <c r="W77">
        <v>46.6</v>
      </c>
      <c r="X77">
        <v>67</v>
      </c>
      <c r="Z77" t="s">
        <v>601</v>
      </c>
      <c r="AA77">
        <v>25000</v>
      </c>
      <c r="AB77">
        <v>1000</v>
      </c>
      <c r="AE77" s="17" t="e">
        <v>#VALUE!</v>
      </c>
      <c r="AF77" t="s">
        <v>18</v>
      </c>
      <c r="AK77" t="s">
        <v>24</v>
      </c>
      <c r="AL77" t="s">
        <v>1052</v>
      </c>
      <c r="AM77" t="s">
        <v>47</v>
      </c>
      <c r="AN77" t="s">
        <v>834</v>
      </c>
      <c r="AO77" t="s">
        <v>5</v>
      </c>
      <c r="AP77" t="s">
        <v>1141</v>
      </c>
      <c r="AQ77" t="s">
        <v>6</v>
      </c>
      <c r="AR77" t="s">
        <v>623</v>
      </c>
      <c r="AS77" t="s">
        <v>1023</v>
      </c>
      <c r="AT77" t="s">
        <v>629</v>
      </c>
      <c r="AU77" t="s">
        <v>10</v>
      </c>
      <c r="AV77">
        <v>48</v>
      </c>
      <c r="AW77" t="s">
        <v>7</v>
      </c>
      <c r="AX77">
        <f>VLOOKUP(AW77,Metric_Codes!$C$91:$D$95,2,FALSE)</f>
        <v>3</v>
      </c>
      <c r="AY77" t="s">
        <v>32</v>
      </c>
      <c r="AZ77" t="s">
        <v>816</v>
      </c>
      <c r="BA77">
        <v>96</v>
      </c>
      <c r="BB77" t="s">
        <v>7</v>
      </c>
      <c r="BC77">
        <f>VLOOKUP(BB77,Metric_Codes!$C$91:$D$95,2,FALSE)</f>
        <v>3</v>
      </c>
      <c r="BD77" t="s">
        <v>11</v>
      </c>
      <c r="BE77">
        <f>VLOOKUP(BD77,Metric_Codes!$C$91:$D$95,2,FALSE)</f>
        <v>4</v>
      </c>
      <c r="BF77">
        <f t="shared" si="1"/>
        <v>3.5</v>
      </c>
      <c r="BG77" t="s">
        <v>32</v>
      </c>
      <c r="BH77" t="s">
        <v>1037</v>
      </c>
      <c r="BI77">
        <v>4</v>
      </c>
      <c r="BJ77" t="s">
        <v>953</v>
      </c>
    </row>
    <row r="78" spans="1:62" x14ac:dyDescent="0.2">
      <c r="A78">
        <v>77</v>
      </c>
      <c r="B78" t="s">
        <v>719</v>
      </c>
      <c r="C78" t="s">
        <v>240</v>
      </c>
      <c r="D78" t="s">
        <v>241</v>
      </c>
      <c r="E78" t="s">
        <v>657</v>
      </c>
      <c r="F78" t="s">
        <v>657</v>
      </c>
      <c r="G78" t="s">
        <v>1157</v>
      </c>
      <c r="H78">
        <v>1923</v>
      </c>
      <c r="I78" t="s">
        <v>794</v>
      </c>
      <c r="J78" t="s">
        <v>1063</v>
      </c>
      <c r="K78" t="s">
        <v>949</v>
      </c>
      <c r="L78" t="s">
        <v>1041</v>
      </c>
      <c r="M78">
        <v>92500572</v>
      </c>
      <c r="N78" t="s">
        <v>67</v>
      </c>
      <c r="O78" t="s">
        <v>1172</v>
      </c>
      <c r="P78">
        <v>72.099999999999994</v>
      </c>
      <c r="Q78" t="s">
        <v>47</v>
      </c>
      <c r="R78" s="17" t="s">
        <v>1503</v>
      </c>
      <c r="S78">
        <v>0.12039999999999999</v>
      </c>
      <c r="T78">
        <v>479</v>
      </c>
      <c r="U78">
        <v>19620</v>
      </c>
      <c r="V78">
        <v>0.876</v>
      </c>
      <c r="W78">
        <v>32.1</v>
      </c>
      <c r="X78">
        <v>73</v>
      </c>
      <c r="Z78" t="s">
        <v>14</v>
      </c>
      <c r="AA78">
        <v>600000</v>
      </c>
      <c r="AB78">
        <v>143000</v>
      </c>
      <c r="AD78">
        <v>203733</v>
      </c>
      <c r="AE78" s="17">
        <v>2.2025052991023666E-3</v>
      </c>
      <c r="AF78" t="s">
        <v>18</v>
      </c>
      <c r="AH78">
        <v>20000</v>
      </c>
      <c r="AK78" t="s">
        <v>24</v>
      </c>
      <c r="AL78" t="s">
        <v>1052</v>
      </c>
      <c r="AM78" t="s">
        <v>814</v>
      </c>
      <c r="AN78" t="s">
        <v>835</v>
      </c>
      <c r="AO78" t="s">
        <v>615</v>
      </c>
      <c r="AP78" t="s">
        <v>1141</v>
      </c>
      <c r="AQ78" t="s">
        <v>9</v>
      </c>
      <c r="AR78" t="s">
        <v>624</v>
      </c>
      <c r="AS78" t="s">
        <v>1022</v>
      </c>
      <c r="AT78" t="s">
        <v>629</v>
      </c>
      <c r="AU78" t="s">
        <v>816</v>
      </c>
      <c r="AV78">
        <v>96</v>
      </c>
      <c r="AW78" t="s">
        <v>11</v>
      </c>
      <c r="AX78">
        <f>VLOOKUP(AW78,Metric_Codes!$C$91:$D$95,2,FALSE)</f>
        <v>4</v>
      </c>
      <c r="AY78" t="s">
        <v>814</v>
      </c>
      <c r="AZ78" t="s">
        <v>816</v>
      </c>
      <c r="BA78">
        <v>96</v>
      </c>
      <c r="BB78" t="s">
        <v>11</v>
      </c>
      <c r="BC78">
        <f>VLOOKUP(BB78,Metric_Codes!$C$91:$D$95,2,FALSE)</f>
        <v>4</v>
      </c>
      <c r="BD78" t="s">
        <v>11</v>
      </c>
      <c r="BE78">
        <f>VLOOKUP(BD78,Metric_Codes!$C$91:$D$95,2,FALSE)</f>
        <v>4</v>
      </c>
      <c r="BF78">
        <f t="shared" si="1"/>
        <v>4</v>
      </c>
      <c r="BG78" t="s">
        <v>814</v>
      </c>
      <c r="BH78" t="s">
        <v>1037</v>
      </c>
      <c r="BI78">
        <v>17</v>
      </c>
      <c r="BJ78" t="s">
        <v>951</v>
      </c>
    </row>
    <row r="79" spans="1:62" x14ac:dyDescent="0.2">
      <c r="A79">
        <v>78</v>
      </c>
      <c r="B79" t="s">
        <v>720</v>
      </c>
      <c r="C79" t="s">
        <v>447</v>
      </c>
      <c r="D79" t="s">
        <v>448</v>
      </c>
      <c r="E79" t="s">
        <v>657</v>
      </c>
      <c r="F79" t="s">
        <v>657</v>
      </c>
      <c r="G79" t="s">
        <v>1157</v>
      </c>
      <c r="H79">
        <v>1948</v>
      </c>
      <c r="I79" t="s">
        <v>795</v>
      </c>
      <c r="J79" t="s">
        <v>1064</v>
      </c>
      <c r="K79" t="s">
        <v>957</v>
      </c>
      <c r="L79" t="s">
        <v>1040</v>
      </c>
      <c r="M79">
        <v>1603258</v>
      </c>
      <c r="N79" t="s">
        <v>33</v>
      </c>
      <c r="O79" t="s">
        <v>1185</v>
      </c>
      <c r="P79">
        <v>48.4</v>
      </c>
      <c r="Q79" t="s">
        <v>37</v>
      </c>
      <c r="R79" s="17" t="s">
        <v>1503</v>
      </c>
      <c r="U79">
        <v>4430</v>
      </c>
      <c r="V79">
        <v>0.57499999999999996</v>
      </c>
      <c r="W79">
        <v>40.799999999999997</v>
      </c>
      <c r="X79">
        <v>41</v>
      </c>
      <c r="Y79" s="12">
        <v>0</v>
      </c>
      <c r="Z79" t="s">
        <v>1</v>
      </c>
      <c r="AA79">
        <v>25000</v>
      </c>
      <c r="AB79">
        <v>110000</v>
      </c>
      <c r="AD79">
        <v>6000</v>
      </c>
      <c r="AE79" s="17">
        <v>3.7423795795810781E-3</v>
      </c>
      <c r="AF79" t="s">
        <v>18</v>
      </c>
      <c r="AG79"/>
      <c r="AK79" t="s">
        <v>24</v>
      </c>
      <c r="AL79" t="s">
        <v>1052</v>
      </c>
      <c r="AM79" t="s">
        <v>47</v>
      </c>
      <c r="AN79" t="s">
        <v>831</v>
      </c>
      <c r="AO79" t="s">
        <v>5</v>
      </c>
      <c r="AP79" t="s">
        <v>1140</v>
      </c>
      <c r="AQ79" t="s">
        <v>6</v>
      </c>
      <c r="AR79" t="s">
        <v>623</v>
      </c>
      <c r="AS79" t="s">
        <v>1022</v>
      </c>
      <c r="AT79" t="s">
        <v>846</v>
      </c>
      <c r="AU79" t="s">
        <v>816</v>
      </c>
      <c r="AV79">
        <v>96</v>
      </c>
      <c r="AW79" t="s">
        <v>635</v>
      </c>
      <c r="AX79">
        <f>VLOOKUP(AW79,Metric_Codes!$C$91:$D$95,2,FALSE)</f>
        <v>2</v>
      </c>
      <c r="AY79" t="s">
        <v>32</v>
      </c>
      <c r="AZ79" t="s">
        <v>816</v>
      </c>
      <c r="BA79">
        <v>120</v>
      </c>
      <c r="BB79" t="s">
        <v>635</v>
      </c>
      <c r="BC79">
        <f>VLOOKUP(BB79,Metric_Codes!$C$91:$D$95,2,FALSE)</f>
        <v>2</v>
      </c>
      <c r="BD79" t="s">
        <v>11</v>
      </c>
      <c r="BE79">
        <f>VLOOKUP(BD79,Metric_Codes!$C$91:$D$95,2,FALSE)</f>
        <v>4</v>
      </c>
      <c r="BF79">
        <f t="shared" si="1"/>
        <v>3</v>
      </c>
      <c r="BG79" t="s">
        <v>32</v>
      </c>
      <c r="BH79" t="s">
        <v>1037</v>
      </c>
      <c r="BI79">
        <v>11</v>
      </c>
      <c r="BJ79" t="s">
        <v>954</v>
      </c>
    </row>
    <row r="80" spans="1:62" x14ac:dyDescent="0.2">
      <c r="A80">
        <v>79</v>
      </c>
      <c r="B80" t="s">
        <v>721</v>
      </c>
      <c r="C80" t="s">
        <v>222</v>
      </c>
      <c r="D80" t="s">
        <v>223</v>
      </c>
      <c r="E80" t="s">
        <v>657</v>
      </c>
      <c r="F80" t="s">
        <v>657</v>
      </c>
      <c r="G80" t="s">
        <v>1157</v>
      </c>
      <c r="H80">
        <v>1950</v>
      </c>
      <c r="I80" t="s">
        <v>796</v>
      </c>
      <c r="J80" t="s">
        <v>1063</v>
      </c>
      <c r="K80" t="s">
        <v>956</v>
      </c>
      <c r="L80" t="s">
        <v>1041</v>
      </c>
      <c r="M80">
        <v>449480608</v>
      </c>
      <c r="N80" t="s">
        <v>57</v>
      </c>
      <c r="O80" t="s">
        <v>1172</v>
      </c>
      <c r="P80">
        <v>55.2</v>
      </c>
      <c r="Q80" t="s">
        <v>51</v>
      </c>
      <c r="R80" s="17" t="s">
        <v>1503</v>
      </c>
      <c r="S80">
        <v>3.7199999999999997E-2</v>
      </c>
      <c r="T80">
        <v>81.28</v>
      </c>
      <c r="U80">
        <v>1120</v>
      </c>
      <c r="V80">
        <v>0.46800000000000003</v>
      </c>
      <c r="W80">
        <v>35.700000000000003</v>
      </c>
      <c r="X80">
        <v>41</v>
      </c>
      <c r="Y80" t="s">
        <v>936</v>
      </c>
      <c r="Z80" t="s">
        <v>601</v>
      </c>
      <c r="AB80">
        <v>1500</v>
      </c>
      <c r="AE80" s="17" t="e">
        <v>#VALUE!</v>
      </c>
      <c r="AF80" t="s">
        <v>18</v>
      </c>
      <c r="AG80">
        <v>597</v>
      </c>
      <c r="AH80">
        <v>38</v>
      </c>
      <c r="AK80" t="s">
        <v>4</v>
      </c>
      <c r="AL80" t="s">
        <v>1052</v>
      </c>
      <c r="AM80" t="s">
        <v>47</v>
      </c>
      <c r="AN80" t="s">
        <v>835</v>
      </c>
      <c r="AO80" t="s">
        <v>5</v>
      </c>
      <c r="AP80" t="s">
        <v>1141</v>
      </c>
      <c r="AQ80" t="s">
        <v>6</v>
      </c>
      <c r="AR80" t="s">
        <v>623</v>
      </c>
      <c r="AS80" t="s">
        <v>1023</v>
      </c>
      <c r="AT80" t="s">
        <v>629</v>
      </c>
      <c r="AU80" t="s">
        <v>10</v>
      </c>
      <c r="AV80">
        <v>48</v>
      </c>
      <c r="AW80" t="s">
        <v>11</v>
      </c>
      <c r="AX80">
        <f>VLOOKUP(AW80,Metric_Codes!$C$91:$D$95,2,FALSE)</f>
        <v>4</v>
      </c>
      <c r="AY80" t="s">
        <v>32</v>
      </c>
      <c r="AZ80" t="s">
        <v>816</v>
      </c>
      <c r="BA80">
        <v>72</v>
      </c>
      <c r="BB80" t="s">
        <v>7</v>
      </c>
      <c r="BC80">
        <f>VLOOKUP(BB80,Metric_Codes!$C$91:$D$95,2,FALSE)</f>
        <v>3</v>
      </c>
      <c r="BD80" t="s">
        <v>11</v>
      </c>
      <c r="BE80">
        <f>VLOOKUP(BD80,Metric_Codes!$C$91:$D$95,2,FALSE)</f>
        <v>4</v>
      </c>
      <c r="BF80">
        <f t="shared" si="1"/>
        <v>3.5</v>
      </c>
      <c r="BG80" t="s">
        <v>32</v>
      </c>
      <c r="BH80" t="s">
        <v>1037</v>
      </c>
      <c r="BI80">
        <v>5</v>
      </c>
      <c r="BJ80" t="s">
        <v>955</v>
      </c>
    </row>
    <row r="81" spans="1:62" x14ac:dyDescent="0.2">
      <c r="A81">
        <v>80</v>
      </c>
      <c r="B81" t="s">
        <v>722</v>
      </c>
      <c r="C81" t="s">
        <v>367</v>
      </c>
      <c r="D81" t="s">
        <v>368</v>
      </c>
      <c r="E81" t="s">
        <v>656</v>
      </c>
      <c r="F81" t="s">
        <v>656</v>
      </c>
      <c r="G81" t="s">
        <v>1157</v>
      </c>
      <c r="H81">
        <v>1952</v>
      </c>
      <c r="I81" t="s">
        <v>797</v>
      </c>
      <c r="J81" t="s">
        <v>1063</v>
      </c>
      <c r="K81" t="s">
        <v>958</v>
      </c>
      <c r="L81" t="s">
        <v>1041</v>
      </c>
      <c r="M81">
        <v>119897000</v>
      </c>
      <c r="N81" t="s">
        <v>57</v>
      </c>
      <c r="O81" t="s">
        <v>1154</v>
      </c>
      <c r="P81">
        <v>58.9</v>
      </c>
      <c r="Q81" t="s">
        <v>37</v>
      </c>
      <c r="R81" s="17" t="s">
        <v>1503</v>
      </c>
      <c r="U81">
        <v>8000</v>
      </c>
      <c r="V81">
        <v>0.73799999999999999</v>
      </c>
      <c r="W81">
        <v>37.700000000000003</v>
      </c>
      <c r="X81">
        <v>28</v>
      </c>
      <c r="Y81" s="12">
        <v>0</v>
      </c>
      <c r="Z81" t="s">
        <v>1</v>
      </c>
      <c r="AA81">
        <v>1000</v>
      </c>
      <c r="AB81">
        <v>2300</v>
      </c>
      <c r="AE81" s="17" t="e">
        <v>#VALUE!</v>
      </c>
      <c r="AF81" t="s">
        <v>12</v>
      </c>
      <c r="AG81"/>
      <c r="AK81" t="s">
        <v>4</v>
      </c>
      <c r="AL81" t="s">
        <v>1052</v>
      </c>
      <c r="AM81" t="s">
        <v>47</v>
      </c>
      <c r="AN81" t="s">
        <v>831</v>
      </c>
      <c r="AO81" t="s">
        <v>5</v>
      </c>
      <c r="AP81" t="s">
        <v>1140</v>
      </c>
      <c r="AQ81" t="s">
        <v>6</v>
      </c>
      <c r="AR81" t="s">
        <v>623</v>
      </c>
      <c r="AS81" t="s">
        <v>1023</v>
      </c>
      <c r="AT81" t="s">
        <v>846</v>
      </c>
      <c r="AW81" t="s">
        <v>634</v>
      </c>
      <c r="AX81">
        <f>VLOOKUP(AW81,Metric_Codes!$C$91:$D$95,2,FALSE)</f>
        <v>1</v>
      </c>
      <c r="AY81" t="s">
        <v>32</v>
      </c>
      <c r="BG81" t="s">
        <v>32</v>
      </c>
      <c r="BH81" t="s">
        <v>1037</v>
      </c>
      <c r="BI81">
        <v>9</v>
      </c>
      <c r="BJ81" t="s">
        <v>959</v>
      </c>
    </row>
    <row r="82" spans="1:62" x14ac:dyDescent="0.2">
      <c r="A82">
        <v>81</v>
      </c>
      <c r="B82" t="s">
        <v>723</v>
      </c>
      <c r="C82" t="s">
        <v>125</v>
      </c>
      <c r="D82" t="s">
        <v>126</v>
      </c>
      <c r="E82" t="s">
        <v>656</v>
      </c>
      <c r="F82" t="s">
        <v>656</v>
      </c>
      <c r="G82" t="s">
        <v>1157</v>
      </c>
      <c r="H82">
        <v>1960</v>
      </c>
      <c r="I82" t="s">
        <v>798</v>
      </c>
      <c r="J82" t="s">
        <v>1063</v>
      </c>
      <c r="K82" t="s">
        <v>960</v>
      </c>
      <c r="L82" t="s">
        <v>1041</v>
      </c>
      <c r="M82">
        <v>7716625</v>
      </c>
      <c r="N82" t="s">
        <v>67</v>
      </c>
      <c r="O82" t="s">
        <v>1172</v>
      </c>
      <c r="P82">
        <v>58.4</v>
      </c>
      <c r="Q82" t="s">
        <v>47</v>
      </c>
      <c r="R82" s="17" t="s">
        <v>1503</v>
      </c>
      <c r="S82">
        <v>5.2499999999999998E-2</v>
      </c>
      <c r="T82">
        <v>532.62</v>
      </c>
      <c r="U82">
        <v>4270</v>
      </c>
      <c r="V82">
        <v>0.71</v>
      </c>
      <c r="W82">
        <v>46.6</v>
      </c>
      <c r="X82">
        <v>67</v>
      </c>
      <c r="Y82" t="s">
        <v>941</v>
      </c>
      <c r="Z82" t="s">
        <v>1</v>
      </c>
      <c r="AA82">
        <v>550000</v>
      </c>
      <c r="AB82">
        <v>6000</v>
      </c>
      <c r="AC82">
        <v>2000000</v>
      </c>
      <c r="AD82">
        <v>2003000</v>
      </c>
      <c r="AE82" s="17">
        <v>0.25956943612006544</v>
      </c>
      <c r="AF82" t="s">
        <v>12</v>
      </c>
      <c r="AK82" t="s">
        <v>4</v>
      </c>
      <c r="AL82" t="s">
        <v>1052</v>
      </c>
      <c r="AM82" t="s">
        <v>47</v>
      </c>
      <c r="AN82" t="s">
        <v>834</v>
      </c>
      <c r="AO82" t="s">
        <v>17</v>
      </c>
      <c r="AP82" t="s">
        <v>1142</v>
      </c>
      <c r="AQ82" t="s">
        <v>9</v>
      </c>
      <c r="AR82" t="s">
        <v>624</v>
      </c>
      <c r="AS82" t="s">
        <v>1030</v>
      </c>
      <c r="AT82" t="s">
        <v>629</v>
      </c>
      <c r="AU82" t="s">
        <v>10</v>
      </c>
      <c r="AV82">
        <v>48</v>
      </c>
      <c r="AW82" t="s">
        <v>11</v>
      </c>
      <c r="AX82">
        <f>VLOOKUP(AW82,Metric_Codes!$C$91:$D$95,2,FALSE)</f>
        <v>4</v>
      </c>
      <c r="AY82" t="s">
        <v>814</v>
      </c>
      <c r="AZ82" t="s">
        <v>816</v>
      </c>
      <c r="BA82">
        <v>72</v>
      </c>
      <c r="BB82" t="s">
        <v>11</v>
      </c>
      <c r="BC82">
        <f>VLOOKUP(BB82,Metric_Codes!$C$91:$D$95,2,FALSE)</f>
        <v>4</v>
      </c>
      <c r="BD82" t="s">
        <v>11</v>
      </c>
      <c r="BE82">
        <f>VLOOKUP(BD82,Metric_Codes!$C$91:$D$95,2,FALSE)</f>
        <v>4</v>
      </c>
      <c r="BF82">
        <f t="shared" si="1"/>
        <v>4</v>
      </c>
      <c r="BG82" t="s">
        <v>814</v>
      </c>
      <c r="BH82" t="s">
        <v>1037</v>
      </c>
      <c r="BI82">
        <v>11</v>
      </c>
      <c r="BJ82" t="s">
        <v>961</v>
      </c>
    </row>
    <row r="83" spans="1:62" x14ac:dyDescent="0.2">
      <c r="A83">
        <v>82</v>
      </c>
      <c r="B83" t="s">
        <v>724</v>
      </c>
      <c r="C83" t="s">
        <v>461</v>
      </c>
      <c r="D83" t="s">
        <v>462</v>
      </c>
      <c r="E83" t="s">
        <v>656</v>
      </c>
      <c r="F83" t="s">
        <v>656</v>
      </c>
      <c r="G83" t="s">
        <v>1157</v>
      </c>
      <c r="H83">
        <v>1964</v>
      </c>
      <c r="I83" t="s">
        <v>799</v>
      </c>
      <c r="J83" t="s">
        <v>1063</v>
      </c>
      <c r="K83" t="s">
        <v>817</v>
      </c>
      <c r="L83" t="s">
        <v>1040</v>
      </c>
      <c r="M83">
        <v>191889000</v>
      </c>
      <c r="N83" t="s">
        <v>64</v>
      </c>
      <c r="O83" t="s">
        <v>1172</v>
      </c>
      <c r="P83">
        <v>76.8</v>
      </c>
      <c r="Q83" t="s">
        <v>47</v>
      </c>
      <c r="R83" s="17" t="s">
        <v>1503</v>
      </c>
      <c r="S83">
        <v>6.0999999999999999E-2</v>
      </c>
      <c r="T83">
        <v>3573.94</v>
      </c>
      <c r="U83">
        <v>23730</v>
      </c>
      <c r="V83">
        <v>0.79700000000000004</v>
      </c>
      <c r="W83">
        <v>41.5</v>
      </c>
      <c r="X83">
        <v>71</v>
      </c>
      <c r="Y83" t="s">
        <v>942</v>
      </c>
      <c r="Z83" t="s">
        <v>601</v>
      </c>
      <c r="AA83">
        <v>1020000</v>
      </c>
      <c r="AB83">
        <v>131</v>
      </c>
      <c r="AE83" s="17">
        <v>0</v>
      </c>
      <c r="AF83" t="s">
        <v>20</v>
      </c>
      <c r="AJ83" t="s">
        <v>23</v>
      </c>
      <c r="AK83" t="s">
        <v>8</v>
      </c>
      <c r="AL83" t="s">
        <v>600</v>
      </c>
      <c r="AM83" t="s">
        <v>814</v>
      </c>
      <c r="AN83" t="s">
        <v>835</v>
      </c>
      <c r="AO83" t="s">
        <v>17</v>
      </c>
      <c r="AP83" t="s">
        <v>1141</v>
      </c>
      <c r="AQ83" t="s">
        <v>9</v>
      </c>
      <c r="AR83" t="s">
        <v>624</v>
      </c>
      <c r="AS83" t="s">
        <v>1025</v>
      </c>
      <c r="AT83" t="s">
        <v>846</v>
      </c>
      <c r="AU83" t="s">
        <v>10</v>
      </c>
      <c r="AV83">
        <v>48</v>
      </c>
      <c r="AW83" t="s">
        <v>11</v>
      </c>
      <c r="AX83">
        <f>VLOOKUP(AW83,Metric_Codes!$C$91:$D$95,2,FALSE)</f>
        <v>4</v>
      </c>
      <c r="AY83" t="s">
        <v>814</v>
      </c>
      <c r="AZ83" t="s">
        <v>816</v>
      </c>
      <c r="BA83">
        <v>84</v>
      </c>
      <c r="BB83" t="s">
        <v>11</v>
      </c>
      <c r="BC83">
        <f>VLOOKUP(BB83,Metric_Codes!$C$91:$D$95,2,FALSE)</f>
        <v>4</v>
      </c>
      <c r="BD83" t="s">
        <v>11</v>
      </c>
      <c r="BE83">
        <f>VLOOKUP(BD83,Metric_Codes!$C$91:$D$95,2,FALSE)</f>
        <v>4</v>
      </c>
      <c r="BF83">
        <f t="shared" si="1"/>
        <v>4</v>
      </c>
      <c r="BG83" t="s">
        <v>814</v>
      </c>
      <c r="BH83" t="s">
        <v>600</v>
      </c>
      <c r="BI83">
        <v>8</v>
      </c>
      <c r="BJ83" t="s">
        <v>962</v>
      </c>
    </row>
    <row r="84" spans="1:62" x14ac:dyDescent="0.2">
      <c r="A84">
        <v>83</v>
      </c>
      <c r="B84" t="s">
        <v>725</v>
      </c>
      <c r="C84" t="s">
        <v>353</v>
      </c>
      <c r="D84" t="s">
        <v>354</v>
      </c>
      <c r="E84" t="s">
        <v>657</v>
      </c>
      <c r="F84" t="s">
        <v>657</v>
      </c>
      <c r="G84" t="s">
        <v>1157</v>
      </c>
      <c r="H84">
        <v>1970</v>
      </c>
      <c r="I84" t="s">
        <v>794</v>
      </c>
      <c r="J84" t="s">
        <v>1064</v>
      </c>
      <c r="K84" t="s">
        <v>963</v>
      </c>
      <c r="L84" t="s">
        <v>1041</v>
      </c>
      <c r="M84">
        <v>13341069</v>
      </c>
      <c r="N84" t="s">
        <v>57</v>
      </c>
      <c r="O84" t="s">
        <v>1172</v>
      </c>
      <c r="P84">
        <v>67.8</v>
      </c>
      <c r="Q84" t="s">
        <v>37</v>
      </c>
      <c r="R84" s="17" t="s">
        <v>1503</v>
      </c>
      <c r="S84">
        <v>3.3700000000000001E-2</v>
      </c>
      <c r="T84">
        <v>557.09</v>
      </c>
      <c r="U84">
        <v>3220</v>
      </c>
      <c r="V84">
        <v>0.60599999999999998</v>
      </c>
      <c r="W84">
        <v>43.3</v>
      </c>
      <c r="X84">
        <v>35</v>
      </c>
      <c r="Y84" s="12">
        <v>0</v>
      </c>
      <c r="Z84" t="s">
        <v>1</v>
      </c>
      <c r="AA84">
        <v>530000</v>
      </c>
      <c r="AB84">
        <v>66794</v>
      </c>
      <c r="AC84">
        <v>1000000</v>
      </c>
      <c r="AD84">
        <v>3216240</v>
      </c>
      <c r="AE84" s="17">
        <v>0.24107813249448001</v>
      </c>
      <c r="AF84" t="s">
        <v>18</v>
      </c>
      <c r="AG84"/>
      <c r="AK84" t="s">
        <v>4</v>
      </c>
      <c r="AL84" t="s">
        <v>1052</v>
      </c>
      <c r="AM84" t="s">
        <v>47</v>
      </c>
      <c r="AN84" t="s">
        <v>834</v>
      </c>
      <c r="AO84" t="s">
        <v>17</v>
      </c>
      <c r="AP84" t="s">
        <v>1140</v>
      </c>
      <c r="AQ84" t="s">
        <v>6</v>
      </c>
      <c r="AR84" t="s">
        <v>623</v>
      </c>
      <c r="AS84" t="s">
        <v>1023</v>
      </c>
      <c r="AT84" t="s">
        <v>629</v>
      </c>
      <c r="AU84" t="s">
        <v>816</v>
      </c>
      <c r="AV84">
        <v>96</v>
      </c>
      <c r="AW84" t="s">
        <v>11</v>
      </c>
      <c r="AX84">
        <f>VLOOKUP(AW84,Metric_Codes!$C$91:$D$95,2,FALSE)</f>
        <v>4</v>
      </c>
      <c r="AY84" t="s">
        <v>814</v>
      </c>
      <c r="AZ84" t="s">
        <v>815</v>
      </c>
      <c r="BA84">
        <v>180</v>
      </c>
      <c r="BB84" t="s">
        <v>635</v>
      </c>
      <c r="BC84">
        <f>VLOOKUP(BB84,Metric_Codes!$C$91:$D$95,2,FALSE)</f>
        <v>2</v>
      </c>
      <c r="BD84" t="s">
        <v>11</v>
      </c>
      <c r="BE84">
        <f>VLOOKUP(BD84,Metric_Codes!$C$91:$D$95,2,FALSE)</f>
        <v>4</v>
      </c>
      <c r="BF84">
        <f t="shared" si="1"/>
        <v>3</v>
      </c>
      <c r="BG84" t="s">
        <v>814</v>
      </c>
      <c r="BH84" t="s">
        <v>1037</v>
      </c>
      <c r="BI84">
        <v>10</v>
      </c>
      <c r="BJ84" t="s">
        <v>964</v>
      </c>
    </row>
    <row r="85" spans="1:62" x14ac:dyDescent="0.2">
      <c r="A85">
        <v>84</v>
      </c>
      <c r="B85" t="s">
        <v>726</v>
      </c>
      <c r="C85" t="s">
        <v>127</v>
      </c>
      <c r="D85" t="s">
        <v>128</v>
      </c>
      <c r="E85" t="s">
        <v>657</v>
      </c>
      <c r="F85" t="s">
        <v>657</v>
      </c>
      <c r="G85" t="s">
        <v>1157</v>
      </c>
      <c r="H85">
        <v>1976</v>
      </c>
      <c r="I85" t="s">
        <v>800</v>
      </c>
      <c r="J85" t="s">
        <v>1065</v>
      </c>
      <c r="K85" t="s">
        <v>895</v>
      </c>
      <c r="L85" t="s">
        <v>1041</v>
      </c>
      <c r="M85">
        <v>930685000</v>
      </c>
      <c r="N85" t="s">
        <v>57</v>
      </c>
      <c r="O85" t="s">
        <v>1185</v>
      </c>
      <c r="P85">
        <v>67.3</v>
      </c>
      <c r="Q85" t="s">
        <v>37</v>
      </c>
      <c r="R85" s="17" t="s">
        <v>1505</v>
      </c>
      <c r="S85">
        <v>-1.6E-2</v>
      </c>
      <c r="T85">
        <v>165.4</v>
      </c>
      <c r="U85">
        <v>990</v>
      </c>
      <c r="V85">
        <v>0.64300000000000002</v>
      </c>
      <c r="W85">
        <v>38.6</v>
      </c>
      <c r="X85">
        <v>39</v>
      </c>
      <c r="Y85" t="s">
        <v>939</v>
      </c>
      <c r="Z85" t="s">
        <v>14</v>
      </c>
      <c r="AA85">
        <v>5600000</v>
      </c>
      <c r="AB85">
        <v>242419</v>
      </c>
      <c r="AD85">
        <v>164000</v>
      </c>
      <c r="AE85" s="17">
        <v>1.7621429377286623E-4</v>
      </c>
      <c r="AF85" t="s">
        <v>12</v>
      </c>
      <c r="AG85"/>
      <c r="AJ85" t="s">
        <v>16</v>
      </c>
      <c r="AK85" t="s">
        <v>4</v>
      </c>
      <c r="AL85" t="s">
        <v>1052</v>
      </c>
      <c r="AM85" t="s">
        <v>47</v>
      </c>
      <c r="AN85" t="s">
        <v>831</v>
      </c>
      <c r="AO85" t="s">
        <v>5</v>
      </c>
      <c r="AP85" t="s">
        <v>1141</v>
      </c>
      <c r="AQ85" t="s">
        <v>6</v>
      </c>
      <c r="AR85" t="s">
        <v>624</v>
      </c>
      <c r="AS85" t="s">
        <v>1022</v>
      </c>
      <c r="AT85" t="s">
        <v>629</v>
      </c>
      <c r="AU85" t="s">
        <v>816</v>
      </c>
      <c r="AV85">
        <v>96</v>
      </c>
      <c r="AW85" t="s">
        <v>11</v>
      </c>
      <c r="AX85">
        <f>VLOOKUP(AW85,Metric_Codes!$C$91:$D$95,2,FALSE)</f>
        <v>4</v>
      </c>
      <c r="AY85" t="s">
        <v>32</v>
      </c>
      <c r="AZ85" t="s">
        <v>816</v>
      </c>
      <c r="BA85">
        <v>96</v>
      </c>
      <c r="BB85" t="s">
        <v>7</v>
      </c>
      <c r="BC85">
        <f>VLOOKUP(BB85,Metric_Codes!$C$91:$D$95,2,FALSE)</f>
        <v>3</v>
      </c>
      <c r="BD85" t="s">
        <v>11</v>
      </c>
      <c r="BE85">
        <f>VLOOKUP(BD85,Metric_Codes!$C$91:$D$95,2,FALSE)</f>
        <v>4</v>
      </c>
      <c r="BF85">
        <f t="shared" si="1"/>
        <v>3.5</v>
      </c>
      <c r="BG85" t="s">
        <v>32</v>
      </c>
      <c r="BH85" t="s">
        <v>1037</v>
      </c>
      <c r="BI85">
        <v>2</v>
      </c>
      <c r="BJ85" t="s">
        <v>898</v>
      </c>
    </row>
    <row r="86" spans="1:62" x14ac:dyDescent="0.2">
      <c r="A86">
        <v>85</v>
      </c>
      <c r="B86" t="s">
        <v>727</v>
      </c>
      <c r="C86" t="s">
        <v>236</v>
      </c>
      <c r="D86" t="s">
        <v>237</v>
      </c>
      <c r="E86" t="s">
        <v>657</v>
      </c>
      <c r="F86" t="s">
        <v>657</v>
      </c>
      <c r="G86" t="s">
        <v>1157</v>
      </c>
      <c r="H86">
        <v>1980</v>
      </c>
      <c r="I86" t="s">
        <v>788</v>
      </c>
      <c r="J86" t="s">
        <v>1065</v>
      </c>
      <c r="K86" t="s">
        <v>966</v>
      </c>
      <c r="L86" t="s">
        <v>1041</v>
      </c>
      <c r="M86">
        <v>56433883</v>
      </c>
      <c r="N86" t="s">
        <v>64</v>
      </c>
      <c r="O86" t="s">
        <v>1177</v>
      </c>
      <c r="P86">
        <v>62.2</v>
      </c>
      <c r="Q86" t="s">
        <v>47</v>
      </c>
      <c r="R86" s="17" t="s">
        <v>1503</v>
      </c>
      <c r="S86">
        <v>3.4000000000000002E-2</v>
      </c>
      <c r="T86">
        <v>8429</v>
      </c>
      <c r="U86">
        <v>18330</v>
      </c>
      <c r="V86">
        <v>0.77100000000000002</v>
      </c>
      <c r="W86">
        <v>35.4</v>
      </c>
      <c r="X86">
        <v>52</v>
      </c>
      <c r="Y86" s="12">
        <v>1.0388069999999999E-2</v>
      </c>
      <c r="Z86" t="s">
        <v>1</v>
      </c>
      <c r="AA86">
        <v>20000000</v>
      </c>
      <c r="AB86">
        <v>4689</v>
      </c>
      <c r="AC86">
        <v>300000</v>
      </c>
      <c r="AD86">
        <v>407700</v>
      </c>
      <c r="AE86" s="17">
        <v>7.2243832663437318E-3</v>
      </c>
      <c r="AF86" t="s">
        <v>20</v>
      </c>
      <c r="AG86" s="13">
        <v>70000</v>
      </c>
      <c r="AH86">
        <v>102000</v>
      </c>
      <c r="AJ86" t="s">
        <v>23</v>
      </c>
      <c r="AK86" t="s">
        <v>4</v>
      </c>
      <c r="AL86" t="s">
        <v>600</v>
      </c>
      <c r="AM86" t="s">
        <v>814</v>
      </c>
      <c r="AN86" t="s">
        <v>834</v>
      </c>
      <c r="AO86" t="s">
        <v>5</v>
      </c>
      <c r="AP86" t="s">
        <v>1142</v>
      </c>
      <c r="AQ86" t="s">
        <v>9</v>
      </c>
      <c r="AR86" t="s">
        <v>624</v>
      </c>
      <c r="AS86" t="s">
        <v>1022</v>
      </c>
      <c r="AT86" t="s">
        <v>629</v>
      </c>
      <c r="AW86" t="s">
        <v>635</v>
      </c>
      <c r="AX86">
        <f>VLOOKUP(AW86,Metric_Codes!$C$91:$D$95,2,FALSE)</f>
        <v>2</v>
      </c>
      <c r="AY86" t="s">
        <v>814</v>
      </c>
      <c r="AZ86" t="s">
        <v>967</v>
      </c>
      <c r="BA86">
        <v>300</v>
      </c>
      <c r="BB86" t="s">
        <v>7</v>
      </c>
      <c r="BC86">
        <f>VLOOKUP(BB86,Metric_Codes!$C$91:$D$95,2,FALSE)</f>
        <v>3</v>
      </c>
      <c r="BD86" t="s">
        <v>11</v>
      </c>
      <c r="BE86">
        <f>VLOOKUP(BD86,Metric_Codes!$C$91:$D$95,2,FALSE)</f>
        <v>4</v>
      </c>
      <c r="BF86">
        <f t="shared" si="1"/>
        <v>3.5</v>
      </c>
      <c r="BG86" t="s">
        <v>814</v>
      </c>
      <c r="BH86" t="s">
        <v>1051</v>
      </c>
      <c r="BI86">
        <v>12</v>
      </c>
      <c r="BJ86" t="s">
        <v>968</v>
      </c>
    </row>
    <row r="87" spans="1:62" x14ac:dyDescent="0.2">
      <c r="A87">
        <v>86</v>
      </c>
      <c r="B87" t="s">
        <v>728</v>
      </c>
      <c r="C87" t="s">
        <v>58</v>
      </c>
      <c r="D87" t="s">
        <v>59</v>
      </c>
      <c r="E87" t="s">
        <v>657</v>
      </c>
      <c r="F87" t="s">
        <v>657</v>
      </c>
      <c r="G87" t="s">
        <v>1157</v>
      </c>
      <c r="H87">
        <v>1988</v>
      </c>
      <c r="I87" t="s">
        <v>801</v>
      </c>
      <c r="J87" t="s">
        <v>1065</v>
      </c>
      <c r="K87" t="s">
        <v>969</v>
      </c>
      <c r="L87" t="s">
        <v>1041</v>
      </c>
      <c r="M87">
        <v>3504651</v>
      </c>
      <c r="N87" t="s">
        <v>33</v>
      </c>
      <c r="O87" t="s">
        <v>1177</v>
      </c>
      <c r="P87">
        <v>67.7</v>
      </c>
      <c r="Q87" t="s">
        <v>37</v>
      </c>
      <c r="R87" s="17" t="s">
        <v>1505</v>
      </c>
      <c r="S87">
        <v>-0.11700000000000001</v>
      </c>
      <c r="T87">
        <v>637.9</v>
      </c>
      <c r="U87">
        <v>2330</v>
      </c>
      <c r="V87">
        <v>0.68</v>
      </c>
      <c r="W87">
        <v>33.6</v>
      </c>
      <c r="X87">
        <v>35</v>
      </c>
      <c r="Y87" s="12">
        <v>0</v>
      </c>
      <c r="Z87" t="s">
        <v>1</v>
      </c>
      <c r="AA87">
        <v>14000000</v>
      </c>
      <c r="AB87">
        <v>25000</v>
      </c>
      <c r="AD87">
        <v>1642000</v>
      </c>
      <c r="AE87" s="17">
        <v>0.46852026064792185</v>
      </c>
      <c r="AF87" t="s">
        <v>18</v>
      </c>
      <c r="AG87">
        <v>1600000</v>
      </c>
      <c r="AH87">
        <v>511000</v>
      </c>
      <c r="AK87" t="s">
        <v>4</v>
      </c>
      <c r="AL87" t="s">
        <v>1052</v>
      </c>
      <c r="AM87" t="s">
        <v>47</v>
      </c>
      <c r="AN87" t="s">
        <v>832</v>
      </c>
      <c r="AO87" t="s">
        <v>5</v>
      </c>
      <c r="AP87" t="s">
        <v>1141</v>
      </c>
      <c r="AQ87" t="s">
        <v>9</v>
      </c>
      <c r="AR87" t="s">
        <v>624</v>
      </c>
      <c r="AS87" t="s">
        <v>1030</v>
      </c>
      <c r="AT87" t="s">
        <v>629</v>
      </c>
      <c r="AW87" t="s">
        <v>635</v>
      </c>
      <c r="AX87">
        <f>VLOOKUP(AW87,Metric_Codes!$C$91:$D$95,2,FALSE)</f>
        <v>2</v>
      </c>
      <c r="AY87" t="s">
        <v>814</v>
      </c>
      <c r="AZ87" t="s">
        <v>815</v>
      </c>
      <c r="BA87">
        <v>180</v>
      </c>
      <c r="BB87" t="s">
        <v>635</v>
      </c>
      <c r="BC87">
        <f>VLOOKUP(BB87,Metric_Codes!$C$91:$D$95,2,FALSE)</f>
        <v>2</v>
      </c>
      <c r="BD87" t="s">
        <v>11</v>
      </c>
      <c r="BE87">
        <f>VLOOKUP(BD87,Metric_Codes!$C$91:$D$95,2,FALSE)</f>
        <v>4</v>
      </c>
      <c r="BF87">
        <f t="shared" si="1"/>
        <v>3</v>
      </c>
      <c r="BG87" t="s">
        <v>814</v>
      </c>
      <c r="BH87" t="s">
        <v>1037</v>
      </c>
      <c r="BI87">
        <v>12</v>
      </c>
      <c r="BJ87" t="s">
        <v>970</v>
      </c>
    </row>
    <row r="88" spans="1:62" x14ac:dyDescent="0.2">
      <c r="A88">
        <v>87</v>
      </c>
      <c r="B88" t="s">
        <v>729</v>
      </c>
      <c r="C88" t="s">
        <v>226</v>
      </c>
      <c r="D88" t="s">
        <v>227</v>
      </c>
      <c r="E88" t="s">
        <v>657</v>
      </c>
      <c r="F88" t="s">
        <v>657</v>
      </c>
      <c r="G88" t="s">
        <v>1157</v>
      </c>
      <c r="H88">
        <v>1990</v>
      </c>
      <c r="I88" t="s">
        <v>802</v>
      </c>
      <c r="J88" t="s">
        <v>1064</v>
      </c>
      <c r="K88" t="s">
        <v>965</v>
      </c>
      <c r="L88" t="s">
        <v>1041</v>
      </c>
      <c r="M88">
        <v>56226185</v>
      </c>
      <c r="N88" t="s">
        <v>41</v>
      </c>
      <c r="O88" t="s">
        <v>1185</v>
      </c>
      <c r="P88">
        <v>51.1</v>
      </c>
      <c r="Q88" t="s">
        <v>37</v>
      </c>
      <c r="R88" s="17" t="s">
        <v>1503</v>
      </c>
      <c r="S88">
        <v>0.13800000000000001</v>
      </c>
      <c r="T88">
        <v>2219.8000000000002</v>
      </c>
      <c r="U88">
        <v>7390</v>
      </c>
      <c r="V88">
        <v>0.70699999999999996</v>
      </c>
      <c r="W88">
        <v>40</v>
      </c>
      <c r="X88">
        <v>28</v>
      </c>
      <c r="Y88" s="12">
        <v>2.4637719999999999E-3</v>
      </c>
      <c r="Z88" t="s">
        <v>14</v>
      </c>
      <c r="AA88">
        <v>8000000</v>
      </c>
      <c r="AB88">
        <v>40000</v>
      </c>
      <c r="AC88">
        <v>106310</v>
      </c>
      <c r="AD88">
        <v>710000</v>
      </c>
      <c r="AE88" s="17">
        <v>1.2627568454093054E-2</v>
      </c>
      <c r="AF88" t="s">
        <v>18</v>
      </c>
      <c r="AG88"/>
      <c r="AK88" t="s">
        <v>4</v>
      </c>
      <c r="AL88" t="s">
        <v>1052</v>
      </c>
      <c r="AM88" t="s">
        <v>47</v>
      </c>
      <c r="AN88" t="s">
        <v>831</v>
      </c>
      <c r="AO88" t="s">
        <v>5</v>
      </c>
      <c r="AP88" t="s">
        <v>1141</v>
      </c>
      <c r="AQ88" t="s">
        <v>6</v>
      </c>
      <c r="AR88" t="s">
        <v>623</v>
      </c>
      <c r="AS88" t="s">
        <v>1023</v>
      </c>
      <c r="AT88" t="s">
        <v>629</v>
      </c>
      <c r="AU88" t="s">
        <v>816</v>
      </c>
      <c r="AV88">
        <v>96</v>
      </c>
      <c r="AW88" t="s">
        <v>635</v>
      </c>
      <c r="AX88">
        <f>VLOOKUP(AW88,Metric_Codes!$C$91:$D$95,2,FALSE)</f>
        <v>2</v>
      </c>
      <c r="AY88" t="s">
        <v>47</v>
      </c>
      <c r="AZ88" t="s">
        <v>815</v>
      </c>
      <c r="BA88">
        <v>180</v>
      </c>
      <c r="BB88" t="s">
        <v>7</v>
      </c>
      <c r="BC88">
        <f>VLOOKUP(BB88,Metric_Codes!$C$91:$D$95,2,FALSE)</f>
        <v>3</v>
      </c>
      <c r="BD88" t="s">
        <v>7</v>
      </c>
      <c r="BE88">
        <f>VLOOKUP(BD88,Metric_Codes!$C$91:$D$95,2,FALSE)</f>
        <v>3</v>
      </c>
      <c r="BF88">
        <f t="shared" si="1"/>
        <v>3</v>
      </c>
      <c r="BG88" t="s">
        <v>47</v>
      </c>
      <c r="BH88" t="s">
        <v>1037</v>
      </c>
      <c r="BI88">
        <v>25</v>
      </c>
      <c r="BJ88" t="s">
        <v>971</v>
      </c>
    </row>
    <row r="89" spans="1:62" x14ac:dyDescent="0.2">
      <c r="A89">
        <v>88</v>
      </c>
      <c r="B89" t="s">
        <v>730</v>
      </c>
      <c r="C89" t="s">
        <v>427</v>
      </c>
      <c r="D89" t="s">
        <v>428</v>
      </c>
      <c r="E89" t="s">
        <v>657</v>
      </c>
      <c r="F89" t="s">
        <v>657</v>
      </c>
      <c r="G89" t="s">
        <v>1157</v>
      </c>
      <c r="H89">
        <v>1999</v>
      </c>
      <c r="I89" t="s">
        <v>772</v>
      </c>
      <c r="J89" t="s">
        <v>1064</v>
      </c>
      <c r="K89" t="s">
        <v>972</v>
      </c>
      <c r="L89" t="s">
        <v>1041</v>
      </c>
      <c r="M89">
        <v>22092000</v>
      </c>
      <c r="N89" t="s">
        <v>149</v>
      </c>
      <c r="O89" t="s">
        <v>1172</v>
      </c>
      <c r="P89">
        <v>77.3</v>
      </c>
      <c r="Q89" t="s">
        <v>47</v>
      </c>
      <c r="R89" s="17" t="s">
        <v>1503</v>
      </c>
      <c r="S89">
        <v>6.7000000000000004E-2</v>
      </c>
      <c r="T89">
        <v>13768</v>
      </c>
      <c r="U89">
        <v>13947</v>
      </c>
      <c r="W89">
        <v>46.5</v>
      </c>
      <c r="X89">
        <v>63</v>
      </c>
      <c r="Y89" s="12">
        <v>1.95975E-2</v>
      </c>
      <c r="Z89" t="s">
        <v>1</v>
      </c>
      <c r="AA89">
        <v>14100000</v>
      </c>
      <c r="AB89">
        <v>2264</v>
      </c>
      <c r="AC89">
        <v>100000</v>
      </c>
      <c r="AD89">
        <v>108664</v>
      </c>
      <c r="AE89" s="17">
        <v>4.9187036031142495E-3</v>
      </c>
      <c r="AF89" t="s">
        <v>18</v>
      </c>
      <c r="AG89" s="13">
        <v>1100000</v>
      </c>
      <c r="AH89">
        <v>64000</v>
      </c>
      <c r="AJ89" t="s">
        <v>16</v>
      </c>
      <c r="AK89" t="s">
        <v>8</v>
      </c>
      <c r="AL89" t="s">
        <v>1052</v>
      </c>
      <c r="AM89" t="s">
        <v>47</v>
      </c>
      <c r="AN89" t="s">
        <v>834</v>
      </c>
      <c r="AO89" t="s">
        <v>5</v>
      </c>
      <c r="AP89" t="s">
        <v>1141</v>
      </c>
      <c r="AQ89" t="s">
        <v>6</v>
      </c>
      <c r="AR89" t="s">
        <v>624</v>
      </c>
      <c r="AS89" t="s">
        <v>1023</v>
      </c>
      <c r="AT89" t="s">
        <v>846</v>
      </c>
      <c r="AU89" t="s">
        <v>845</v>
      </c>
      <c r="AV89">
        <v>9</v>
      </c>
      <c r="AW89" t="s">
        <v>11</v>
      </c>
      <c r="AX89">
        <f>VLOOKUP(AW89,Metric_Codes!$C$91:$D$95,2,FALSE)</f>
        <v>4</v>
      </c>
      <c r="AY89" t="s">
        <v>814</v>
      </c>
      <c r="AZ89" t="s">
        <v>10</v>
      </c>
      <c r="BA89">
        <v>36</v>
      </c>
      <c r="BB89" t="s">
        <v>7</v>
      </c>
      <c r="BC89">
        <f>VLOOKUP(BB89,Metric_Codes!$C$91:$D$95,2,FALSE)</f>
        <v>3</v>
      </c>
      <c r="BD89" t="s">
        <v>11</v>
      </c>
      <c r="BE89">
        <f>VLOOKUP(BD89,Metric_Codes!$C$91:$D$95,2,FALSE)</f>
        <v>4</v>
      </c>
      <c r="BF89">
        <f t="shared" si="1"/>
        <v>3.5</v>
      </c>
      <c r="BG89" t="s">
        <v>814</v>
      </c>
      <c r="BH89" t="s">
        <v>1037</v>
      </c>
      <c r="BI89">
        <v>8</v>
      </c>
      <c r="BJ89" t="s">
        <v>973</v>
      </c>
    </row>
    <row r="90" spans="1:62" x14ac:dyDescent="0.2">
      <c r="A90">
        <v>89</v>
      </c>
      <c r="B90" t="s">
        <v>731</v>
      </c>
      <c r="C90" t="s">
        <v>38</v>
      </c>
      <c r="D90" t="s">
        <v>39</v>
      </c>
      <c r="E90" t="s">
        <v>656</v>
      </c>
      <c r="F90" t="s">
        <v>656</v>
      </c>
      <c r="G90" t="s">
        <v>1157</v>
      </c>
      <c r="H90">
        <v>2003</v>
      </c>
      <c r="I90" t="s">
        <v>803</v>
      </c>
      <c r="J90" t="s">
        <v>1065</v>
      </c>
      <c r="K90" t="s">
        <v>977</v>
      </c>
      <c r="L90" t="s">
        <v>1041</v>
      </c>
      <c r="M90">
        <v>32403514</v>
      </c>
      <c r="N90" t="s">
        <v>41</v>
      </c>
      <c r="O90" t="s">
        <v>1185</v>
      </c>
      <c r="P90">
        <v>46.2</v>
      </c>
      <c r="Q90" t="s">
        <v>37</v>
      </c>
      <c r="R90" s="17" t="s">
        <v>1503</v>
      </c>
      <c r="S90">
        <v>7.1999999999999995E-2</v>
      </c>
      <c r="T90">
        <v>2094.3000000000002</v>
      </c>
      <c r="U90">
        <v>9270</v>
      </c>
      <c r="V90">
        <v>0.59799999999999998</v>
      </c>
      <c r="W90">
        <v>27.6</v>
      </c>
      <c r="X90">
        <v>35</v>
      </c>
      <c r="Y90" s="12">
        <v>5.7391789999999996E-3</v>
      </c>
      <c r="Z90" t="s">
        <v>1</v>
      </c>
      <c r="AA90">
        <v>5000000</v>
      </c>
      <c r="AB90">
        <v>2275</v>
      </c>
      <c r="AC90">
        <v>200000</v>
      </c>
      <c r="AD90">
        <v>210261</v>
      </c>
      <c r="AE90" s="17">
        <v>6.4888332790079498E-3</v>
      </c>
      <c r="AF90" t="s">
        <v>18</v>
      </c>
      <c r="AG90">
        <v>1200000</v>
      </c>
      <c r="AK90" t="s">
        <v>4</v>
      </c>
      <c r="AL90" t="s">
        <v>1052</v>
      </c>
      <c r="AM90" t="s">
        <v>47</v>
      </c>
      <c r="AN90" t="s">
        <v>831</v>
      </c>
      <c r="AO90" t="s">
        <v>5</v>
      </c>
      <c r="AP90" t="s">
        <v>1141</v>
      </c>
      <c r="AQ90" t="s">
        <v>6</v>
      </c>
      <c r="AR90" t="s">
        <v>624</v>
      </c>
      <c r="AS90" t="s">
        <v>1025</v>
      </c>
      <c r="AT90" t="s">
        <v>629</v>
      </c>
      <c r="AU90" t="s">
        <v>22</v>
      </c>
      <c r="AV90">
        <v>18</v>
      </c>
      <c r="AW90" t="s">
        <v>11</v>
      </c>
      <c r="AX90">
        <f>VLOOKUP(AW90,Metric_Codes!$C$91:$D$95,2,FALSE)</f>
        <v>4</v>
      </c>
      <c r="AY90" t="s">
        <v>32</v>
      </c>
      <c r="AZ90" t="s">
        <v>10</v>
      </c>
      <c r="BA90">
        <v>36</v>
      </c>
      <c r="BB90" t="s">
        <v>7</v>
      </c>
      <c r="BC90">
        <f>VLOOKUP(BB90,Metric_Codes!$C$91:$D$95,2,FALSE)</f>
        <v>3</v>
      </c>
      <c r="BD90" t="s">
        <v>11</v>
      </c>
      <c r="BE90">
        <f>VLOOKUP(BD90,Metric_Codes!$C$91:$D$95,2,FALSE)</f>
        <v>4</v>
      </c>
      <c r="BF90">
        <f t="shared" si="1"/>
        <v>3.5</v>
      </c>
      <c r="BG90" t="s">
        <v>32</v>
      </c>
      <c r="BH90" t="s">
        <v>1037</v>
      </c>
      <c r="BI90">
        <v>14</v>
      </c>
      <c r="BJ90" t="s">
        <v>974</v>
      </c>
    </row>
    <row r="91" spans="1:62" x14ac:dyDescent="0.2">
      <c r="A91">
        <v>90</v>
      </c>
      <c r="B91" t="s">
        <v>732</v>
      </c>
      <c r="C91" t="s">
        <v>224</v>
      </c>
      <c r="D91" t="s">
        <v>225</v>
      </c>
      <c r="E91" t="s">
        <v>656</v>
      </c>
      <c r="F91" t="s">
        <v>656</v>
      </c>
      <c r="G91" t="s">
        <v>1157</v>
      </c>
      <c r="H91">
        <v>2005</v>
      </c>
      <c r="I91" t="s">
        <v>804</v>
      </c>
      <c r="J91" t="s">
        <v>1063</v>
      </c>
      <c r="K91" t="s">
        <v>978</v>
      </c>
      <c r="L91" t="s">
        <v>1041</v>
      </c>
      <c r="M91">
        <v>226712730</v>
      </c>
      <c r="N91" t="s">
        <v>57</v>
      </c>
      <c r="O91" t="s">
        <v>1185</v>
      </c>
      <c r="P91">
        <v>65.8</v>
      </c>
      <c r="Q91" t="s">
        <v>51</v>
      </c>
      <c r="R91" s="17" t="s">
        <v>1503</v>
      </c>
      <c r="S91">
        <v>5.7000000000000002E-2</v>
      </c>
      <c r="T91">
        <v>1260.9000000000001</v>
      </c>
      <c r="U91">
        <v>5780</v>
      </c>
      <c r="V91">
        <v>0.56299999999999994</v>
      </c>
      <c r="W91">
        <v>38.1</v>
      </c>
      <c r="X91">
        <v>38</v>
      </c>
      <c r="Y91" s="12">
        <v>5.4947140000000004E-3</v>
      </c>
      <c r="Z91" t="s">
        <v>599</v>
      </c>
      <c r="AB91">
        <v>915</v>
      </c>
      <c r="AC91">
        <v>106800</v>
      </c>
      <c r="AD91">
        <v>105313</v>
      </c>
      <c r="AE91" s="17">
        <v>4.6452177608200473E-4</v>
      </c>
      <c r="AF91" t="s">
        <v>18</v>
      </c>
      <c r="AG91"/>
      <c r="AK91" t="s">
        <v>4</v>
      </c>
      <c r="AL91" t="s">
        <v>1052</v>
      </c>
      <c r="AM91" t="s">
        <v>47</v>
      </c>
      <c r="AN91" t="s">
        <v>834</v>
      </c>
      <c r="AO91" t="s">
        <v>615</v>
      </c>
      <c r="AP91" t="s">
        <v>1142</v>
      </c>
      <c r="AQ91" t="s">
        <v>9</v>
      </c>
      <c r="AR91" t="s">
        <v>624</v>
      </c>
      <c r="AS91" t="s">
        <v>1030</v>
      </c>
      <c r="AT91" t="s">
        <v>629</v>
      </c>
      <c r="AU91" t="s">
        <v>22</v>
      </c>
      <c r="AV91">
        <v>18</v>
      </c>
      <c r="AW91" t="s">
        <v>11</v>
      </c>
      <c r="AX91">
        <f>VLOOKUP(AW91,Metric_Codes!$C$91:$D$95,2,FALSE)</f>
        <v>4</v>
      </c>
      <c r="AY91" t="s">
        <v>814</v>
      </c>
      <c r="AZ91" t="s">
        <v>10</v>
      </c>
      <c r="BA91">
        <v>36</v>
      </c>
      <c r="BB91" t="s">
        <v>7</v>
      </c>
      <c r="BC91">
        <f>VLOOKUP(BB91,Metric_Codes!$C$91:$D$95,2,FALSE)</f>
        <v>3</v>
      </c>
      <c r="BD91" t="s">
        <v>11</v>
      </c>
      <c r="BE91">
        <f>VLOOKUP(BD91,Metric_Codes!$C$91:$D$95,2,FALSE)</f>
        <v>4</v>
      </c>
      <c r="BF91">
        <f t="shared" si="1"/>
        <v>3.5</v>
      </c>
      <c r="BG91" t="s">
        <v>814</v>
      </c>
      <c r="BH91" t="s">
        <v>1037</v>
      </c>
      <c r="BI91">
        <v>15</v>
      </c>
      <c r="BJ91" t="s">
        <v>975</v>
      </c>
    </row>
    <row r="92" spans="1:62" x14ac:dyDescent="0.2">
      <c r="A92">
        <v>91</v>
      </c>
      <c r="B92" t="s">
        <v>733</v>
      </c>
      <c r="C92" t="s">
        <v>224</v>
      </c>
      <c r="D92" t="s">
        <v>225</v>
      </c>
      <c r="E92" t="s">
        <v>657</v>
      </c>
      <c r="F92" t="s">
        <v>657</v>
      </c>
      <c r="G92" t="s">
        <v>1157</v>
      </c>
      <c r="H92">
        <v>2007</v>
      </c>
      <c r="I92" t="s">
        <v>805</v>
      </c>
      <c r="J92" t="s">
        <v>1063</v>
      </c>
      <c r="K92" t="s">
        <v>979</v>
      </c>
      <c r="L92" t="s">
        <v>1041</v>
      </c>
      <c r="M92">
        <v>232989141</v>
      </c>
      <c r="N92" t="s">
        <v>57</v>
      </c>
      <c r="O92" t="s">
        <v>1185</v>
      </c>
      <c r="P92">
        <v>65.8</v>
      </c>
      <c r="Q92" t="s">
        <v>51</v>
      </c>
      <c r="R92" s="17" t="s">
        <v>1503</v>
      </c>
      <c r="S92">
        <v>6.3E-2</v>
      </c>
      <c r="T92">
        <v>1855.1</v>
      </c>
      <c r="U92">
        <v>6730</v>
      </c>
      <c r="V92">
        <v>0.56299999999999994</v>
      </c>
      <c r="W92">
        <v>38.1</v>
      </c>
      <c r="X92">
        <v>38</v>
      </c>
      <c r="Y92" s="12">
        <v>4.4841050000000004E-3</v>
      </c>
      <c r="Z92" t="s">
        <v>599</v>
      </c>
      <c r="AA92">
        <v>500000</v>
      </c>
      <c r="AB92">
        <v>25</v>
      </c>
      <c r="AC92">
        <v>36800</v>
      </c>
      <c r="AD92">
        <v>459567</v>
      </c>
      <c r="AE92" s="17">
        <v>1.9724824857824596E-3</v>
      </c>
      <c r="AF92" t="s">
        <v>18</v>
      </c>
      <c r="AG92"/>
      <c r="AH92">
        <v>3600</v>
      </c>
      <c r="AK92" t="s">
        <v>4</v>
      </c>
      <c r="AL92" t="s">
        <v>1052</v>
      </c>
      <c r="AM92" t="s">
        <v>47</v>
      </c>
      <c r="AN92" t="s">
        <v>834</v>
      </c>
      <c r="AO92" t="s">
        <v>615</v>
      </c>
      <c r="AP92" t="s">
        <v>1142</v>
      </c>
      <c r="AQ92" t="s">
        <v>9</v>
      </c>
      <c r="AR92" t="s">
        <v>624</v>
      </c>
      <c r="AS92" t="s">
        <v>1025</v>
      </c>
      <c r="AT92" t="s">
        <v>629</v>
      </c>
      <c r="AU92" t="s">
        <v>22</v>
      </c>
      <c r="AV92">
        <v>18</v>
      </c>
      <c r="AW92" t="s">
        <v>7</v>
      </c>
      <c r="AX92">
        <f>VLOOKUP(AW92,Metric_Codes!$C$91:$D$95,2,FALSE)</f>
        <v>3</v>
      </c>
      <c r="AY92" t="s">
        <v>32</v>
      </c>
      <c r="AZ92" t="s">
        <v>22</v>
      </c>
      <c r="BA92">
        <v>18</v>
      </c>
      <c r="BB92" t="s">
        <v>7</v>
      </c>
      <c r="BC92">
        <f>VLOOKUP(BB92,Metric_Codes!$C$91:$D$95,2,FALSE)</f>
        <v>3</v>
      </c>
      <c r="BD92" t="s">
        <v>7</v>
      </c>
      <c r="BE92">
        <f>VLOOKUP(BD92,Metric_Codes!$C$91:$D$95,2,FALSE)</f>
        <v>3</v>
      </c>
      <c r="BF92">
        <f t="shared" si="1"/>
        <v>3</v>
      </c>
      <c r="BG92" t="s">
        <v>32</v>
      </c>
      <c r="BH92" t="s">
        <v>1037</v>
      </c>
      <c r="BI92">
        <v>8</v>
      </c>
      <c r="BJ92" t="s">
        <v>976</v>
      </c>
    </row>
    <row r="93" spans="1:62" x14ac:dyDescent="0.2">
      <c r="A93">
        <v>92</v>
      </c>
      <c r="B93" t="s">
        <v>734</v>
      </c>
      <c r="C93" t="s">
        <v>240</v>
      </c>
      <c r="D93" t="s">
        <v>241</v>
      </c>
      <c r="E93" t="s">
        <v>656</v>
      </c>
      <c r="F93" t="s">
        <v>656</v>
      </c>
      <c r="G93" t="s">
        <v>1157</v>
      </c>
      <c r="H93">
        <v>1933</v>
      </c>
      <c r="I93" t="s">
        <v>1509</v>
      </c>
      <c r="J93" t="s">
        <v>1063</v>
      </c>
      <c r="K93" t="s">
        <v>980</v>
      </c>
      <c r="L93" t="s">
        <v>1041</v>
      </c>
      <c r="M93">
        <v>92500572</v>
      </c>
      <c r="N93" t="s">
        <v>67</v>
      </c>
      <c r="O93" t="s">
        <v>1172</v>
      </c>
      <c r="P93">
        <v>72.099999999999994</v>
      </c>
      <c r="Q93" t="s">
        <v>47</v>
      </c>
      <c r="R93" s="17" t="s">
        <v>1503</v>
      </c>
      <c r="S93">
        <v>0.12039999999999999</v>
      </c>
      <c r="T93">
        <v>479</v>
      </c>
      <c r="U93">
        <v>19620</v>
      </c>
      <c r="V93">
        <v>0.876</v>
      </c>
      <c r="W93">
        <v>32.1</v>
      </c>
      <c r="X93">
        <v>73</v>
      </c>
      <c r="Y93" t="s">
        <v>0</v>
      </c>
      <c r="Z93" t="s">
        <v>601</v>
      </c>
      <c r="AA93">
        <v>25000</v>
      </c>
      <c r="AB93">
        <v>6064</v>
      </c>
      <c r="AE93" s="17">
        <v>0</v>
      </c>
      <c r="AF93" t="s">
        <v>12</v>
      </c>
      <c r="AK93" t="s">
        <v>4</v>
      </c>
      <c r="AL93" t="s">
        <v>1052</v>
      </c>
      <c r="AM93" t="s">
        <v>47</v>
      </c>
      <c r="AN93" t="s">
        <v>835</v>
      </c>
      <c r="AO93" t="s">
        <v>5</v>
      </c>
      <c r="AP93" t="s">
        <v>1142</v>
      </c>
      <c r="AQ93" t="s">
        <v>9</v>
      </c>
      <c r="AR93" t="s">
        <v>624</v>
      </c>
      <c r="AS93" t="s">
        <v>1025</v>
      </c>
      <c r="AT93" t="s">
        <v>629</v>
      </c>
      <c r="AU93" t="s">
        <v>10</v>
      </c>
      <c r="AV93">
        <v>48</v>
      </c>
      <c r="AW93" t="s">
        <v>7</v>
      </c>
      <c r="AX93">
        <f>VLOOKUP(AW93,Metric_Codes!$C$91:$D$95,2,FALSE)</f>
        <v>3</v>
      </c>
      <c r="AY93" t="s">
        <v>814</v>
      </c>
      <c r="AZ93" t="s">
        <v>10</v>
      </c>
      <c r="BA93">
        <v>48</v>
      </c>
      <c r="BB93" t="s">
        <v>7</v>
      </c>
      <c r="BC93">
        <f>VLOOKUP(BB93,Metric_Codes!$C$91:$D$95,2,FALSE)</f>
        <v>3</v>
      </c>
      <c r="BD93" t="s">
        <v>11</v>
      </c>
      <c r="BE93">
        <f>VLOOKUP(BD93,Metric_Codes!$C$91:$D$95,2,FALSE)</f>
        <v>4</v>
      </c>
      <c r="BF93">
        <f t="shared" si="1"/>
        <v>3.5</v>
      </c>
      <c r="BG93" t="s">
        <v>814</v>
      </c>
      <c r="BH93" t="s">
        <v>1037</v>
      </c>
      <c r="BI93">
        <v>16</v>
      </c>
      <c r="BJ93" t="s">
        <v>981</v>
      </c>
    </row>
    <row r="94" spans="1:62" x14ac:dyDescent="0.2">
      <c r="A94">
        <v>93</v>
      </c>
      <c r="B94" t="s">
        <v>735</v>
      </c>
      <c r="C94" t="s">
        <v>196</v>
      </c>
      <c r="D94" t="s">
        <v>197</v>
      </c>
      <c r="E94" t="s">
        <v>656</v>
      </c>
      <c r="F94" t="s">
        <v>656</v>
      </c>
      <c r="G94" t="s">
        <v>1157</v>
      </c>
      <c r="H94">
        <v>1956</v>
      </c>
      <c r="I94" t="s">
        <v>786</v>
      </c>
      <c r="J94" t="s">
        <v>1064</v>
      </c>
      <c r="K94" t="s">
        <v>983</v>
      </c>
      <c r="L94" t="s">
        <v>1041</v>
      </c>
      <c r="M94">
        <v>8331725</v>
      </c>
      <c r="N94" t="s">
        <v>64</v>
      </c>
      <c r="O94" t="s">
        <v>1173</v>
      </c>
      <c r="P94">
        <v>57.7</v>
      </c>
      <c r="Q94" t="s">
        <v>47</v>
      </c>
      <c r="R94" s="17" t="s">
        <v>1503</v>
      </c>
      <c r="S94">
        <v>0.1115</v>
      </c>
      <c r="T94">
        <v>533.69000000000005</v>
      </c>
      <c r="U94">
        <v>13590</v>
      </c>
      <c r="V94">
        <v>0.753</v>
      </c>
      <c r="W94">
        <v>36</v>
      </c>
      <c r="X94">
        <v>45</v>
      </c>
      <c r="Y94" t="s">
        <v>932</v>
      </c>
      <c r="Z94" t="s">
        <v>599</v>
      </c>
      <c r="AB94">
        <v>53</v>
      </c>
      <c r="AD94">
        <v>100</v>
      </c>
      <c r="AE94" s="17">
        <v>1.2002316447074285E-5</v>
      </c>
      <c r="AF94" t="s">
        <v>12</v>
      </c>
      <c r="AK94" t="s">
        <v>4</v>
      </c>
      <c r="AL94" t="s">
        <v>1052</v>
      </c>
      <c r="AM94" t="s">
        <v>47</v>
      </c>
      <c r="AN94" t="s">
        <v>834</v>
      </c>
      <c r="AO94" t="s">
        <v>5</v>
      </c>
      <c r="AP94" t="s">
        <v>1140</v>
      </c>
      <c r="AQ94" t="s">
        <v>9</v>
      </c>
      <c r="AR94" t="s">
        <v>623</v>
      </c>
      <c r="AS94" t="s">
        <v>1030</v>
      </c>
      <c r="AT94" t="s">
        <v>629</v>
      </c>
      <c r="AU94" t="s">
        <v>10</v>
      </c>
      <c r="AV94">
        <v>48</v>
      </c>
      <c r="AW94" t="s">
        <v>7</v>
      </c>
      <c r="AX94">
        <f>VLOOKUP(AW94,Metric_Codes!$C$91:$D$95,2,FALSE)</f>
        <v>3</v>
      </c>
      <c r="AY94" t="s">
        <v>32</v>
      </c>
      <c r="AZ94" t="s">
        <v>10</v>
      </c>
      <c r="BA94">
        <v>48</v>
      </c>
      <c r="BB94" t="s">
        <v>7</v>
      </c>
      <c r="BC94">
        <f>VLOOKUP(BB94,Metric_Codes!$C$91:$D$95,2,FALSE)</f>
        <v>3</v>
      </c>
      <c r="BD94" t="s">
        <v>7</v>
      </c>
      <c r="BE94">
        <f>VLOOKUP(BD94,Metric_Codes!$C$91:$D$95,2,FALSE)</f>
        <v>3</v>
      </c>
      <c r="BF94">
        <f t="shared" si="1"/>
        <v>3</v>
      </c>
      <c r="BG94" t="s">
        <v>32</v>
      </c>
      <c r="BH94" t="s">
        <v>1037</v>
      </c>
      <c r="BI94">
        <v>7</v>
      </c>
      <c r="BJ94" t="s">
        <v>982</v>
      </c>
    </row>
    <row r="95" spans="1:62" x14ac:dyDescent="0.2">
      <c r="A95">
        <v>94</v>
      </c>
      <c r="B95" t="s">
        <v>736</v>
      </c>
      <c r="C95" t="s">
        <v>355</v>
      </c>
      <c r="D95" t="s">
        <v>356</v>
      </c>
      <c r="E95" t="s">
        <v>656</v>
      </c>
      <c r="F95" t="s">
        <v>656</v>
      </c>
      <c r="G95" t="s">
        <v>1157</v>
      </c>
      <c r="H95">
        <v>1976</v>
      </c>
      <c r="I95" t="s">
        <v>806</v>
      </c>
      <c r="J95" t="s">
        <v>1063</v>
      </c>
      <c r="K95" t="s">
        <v>888</v>
      </c>
      <c r="L95" t="s">
        <v>1041</v>
      </c>
      <c r="M95">
        <v>42461193</v>
      </c>
      <c r="N95" t="s">
        <v>57</v>
      </c>
      <c r="O95" t="s">
        <v>1172</v>
      </c>
      <c r="P95">
        <v>63.8</v>
      </c>
      <c r="Q95" t="s">
        <v>51</v>
      </c>
      <c r="R95" s="17" t="s">
        <v>1503</v>
      </c>
      <c r="S95">
        <v>8.7999999999999995E-2</v>
      </c>
      <c r="T95">
        <v>402.7</v>
      </c>
      <c r="U95">
        <v>2550</v>
      </c>
      <c r="V95">
        <v>0.57399999999999995</v>
      </c>
      <c r="W95">
        <v>40.1</v>
      </c>
      <c r="X95">
        <v>36</v>
      </c>
      <c r="Y95" t="s">
        <v>937</v>
      </c>
      <c r="Z95" t="s">
        <v>601</v>
      </c>
      <c r="AA95">
        <v>134000</v>
      </c>
      <c r="AB95">
        <v>6000</v>
      </c>
      <c r="AC95">
        <v>93500</v>
      </c>
      <c r="AD95">
        <v>181348</v>
      </c>
      <c r="AE95" s="17">
        <v>4.2709115591735725E-3</v>
      </c>
      <c r="AF95" t="s">
        <v>18</v>
      </c>
      <c r="AG95"/>
      <c r="AK95" t="s">
        <v>4</v>
      </c>
      <c r="AL95" t="s">
        <v>1052</v>
      </c>
      <c r="AM95" t="s">
        <v>47</v>
      </c>
      <c r="AN95" t="s">
        <v>834</v>
      </c>
      <c r="AO95" t="s">
        <v>5</v>
      </c>
      <c r="AP95" t="s">
        <v>1142</v>
      </c>
      <c r="AQ95" t="s">
        <v>6</v>
      </c>
      <c r="AR95" t="s">
        <v>623</v>
      </c>
      <c r="AS95" t="s">
        <v>1023</v>
      </c>
      <c r="AT95" t="s">
        <v>846</v>
      </c>
      <c r="AU95" t="s">
        <v>22</v>
      </c>
      <c r="AV95">
        <v>18</v>
      </c>
      <c r="AW95" t="s">
        <v>7</v>
      </c>
      <c r="AX95">
        <f>VLOOKUP(AW95,Metric_Codes!$C$91:$D$95,2,FALSE)</f>
        <v>3</v>
      </c>
      <c r="AY95" t="s">
        <v>32</v>
      </c>
      <c r="AZ95" t="s">
        <v>10</v>
      </c>
      <c r="BA95">
        <v>36</v>
      </c>
      <c r="BB95" t="s">
        <v>7</v>
      </c>
      <c r="BC95">
        <f>VLOOKUP(BB95,Metric_Codes!$C$91:$D$95,2,FALSE)</f>
        <v>3</v>
      </c>
      <c r="BD95" t="s">
        <v>7</v>
      </c>
      <c r="BE95">
        <f>VLOOKUP(BD95,Metric_Codes!$C$91:$D$95,2,FALSE)</f>
        <v>3</v>
      </c>
      <c r="BF95">
        <f t="shared" si="1"/>
        <v>3</v>
      </c>
      <c r="BG95" t="s">
        <v>32</v>
      </c>
      <c r="BH95" t="s">
        <v>1037</v>
      </c>
      <c r="BI95">
        <v>16</v>
      </c>
      <c r="BJ95" t="s">
        <v>1034</v>
      </c>
    </row>
    <row r="96" spans="1:62" x14ac:dyDescent="0.2">
      <c r="A96">
        <v>95</v>
      </c>
      <c r="B96" t="s">
        <v>737</v>
      </c>
      <c r="C96" t="s">
        <v>129</v>
      </c>
      <c r="D96" t="s">
        <v>130</v>
      </c>
      <c r="E96" t="s">
        <v>656</v>
      </c>
      <c r="F96" t="s">
        <v>656</v>
      </c>
      <c r="G96" t="s">
        <v>1157</v>
      </c>
      <c r="H96">
        <v>1979</v>
      </c>
      <c r="I96" t="s">
        <v>807</v>
      </c>
      <c r="J96" t="s">
        <v>1063</v>
      </c>
      <c r="K96" t="s">
        <v>985</v>
      </c>
      <c r="L96" t="s">
        <v>1041</v>
      </c>
      <c r="M96">
        <v>27113512</v>
      </c>
      <c r="N96" t="s">
        <v>57</v>
      </c>
      <c r="O96" t="s">
        <v>1185</v>
      </c>
      <c r="P96">
        <v>55.4</v>
      </c>
      <c r="Q96" t="s">
        <v>37</v>
      </c>
      <c r="R96" s="17" t="s">
        <v>1505</v>
      </c>
      <c r="S96">
        <v>-5.1999999999999998E-2</v>
      </c>
      <c r="T96">
        <v>1030.5</v>
      </c>
      <c r="U96">
        <v>4590</v>
      </c>
      <c r="V96">
        <v>0.57099999999999995</v>
      </c>
      <c r="W96">
        <v>49.7</v>
      </c>
      <c r="X96">
        <v>36</v>
      </c>
      <c r="Y96" t="s">
        <v>943</v>
      </c>
      <c r="Z96" t="s">
        <v>599</v>
      </c>
      <c r="AA96">
        <v>8000</v>
      </c>
      <c r="AB96">
        <v>579</v>
      </c>
      <c r="AD96">
        <v>11042</v>
      </c>
      <c r="AE96" s="17">
        <v>4.0725082018146523E-4</v>
      </c>
      <c r="AF96" t="s">
        <v>18</v>
      </c>
      <c r="AG96"/>
      <c r="AK96" t="s">
        <v>4</v>
      </c>
      <c r="AL96" t="s">
        <v>1052</v>
      </c>
      <c r="AM96" t="s">
        <v>47</v>
      </c>
      <c r="AN96" t="s">
        <v>834</v>
      </c>
      <c r="AO96" t="s">
        <v>5</v>
      </c>
      <c r="AP96" t="s">
        <v>1141</v>
      </c>
      <c r="AQ96" t="s">
        <v>9</v>
      </c>
      <c r="AR96" t="s">
        <v>624</v>
      </c>
      <c r="AS96" t="s">
        <v>1030</v>
      </c>
      <c r="AT96" t="s">
        <v>629</v>
      </c>
      <c r="AU96" t="s">
        <v>10</v>
      </c>
      <c r="AV96">
        <v>48</v>
      </c>
      <c r="AW96" t="s">
        <v>7</v>
      </c>
      <c r="AX96">
        <f>VLOOKUP(AW96,Metric_Codes!$C$91:$D$95,2,FALSE)</f>
        <v>3</v>
      </c>
      <c r="AY96" t="s">
        <v>32</v>
      </c>
      <c r="AZ96" t="s">
        <v>816</v>
      </c>
      <c r="BA96">
        <v>96</v>
      </c>
      <c r="BB96" t="s">
        <v>7</v>
      </c>
      <c r="BC96">
        <f>VLOOKUP(BB96,Metric_Codes!$C$91:$D$95,2,FALSE)</f>
        <v>3</v>
      </c>
      <c r="BD96" t="s">
        <v>11</v>
      </c>
      <c r="BE96">
        <f>VLOOKUP(BD96,Metric_Codes!$C$91:$D$95,2,FALSE)</f>
        <v>4</v>
      </c>
      <c r="BF96">
        <f t="shared" si="1"/>
        <v>3.5</v>
      </c>
      <c r="BG96" t="s">
        <v>32</v>
      </c>
      <c r="BH96" t="s">
        <v>1037</v>
      </c>
      <c r="BI96">
        <v>6</v>
      </c>
      <c r="BJ96" t="s">
        <v>984</v>
      </c>
    </row>
    <row r="97" spans="1:62" x14ac:dyDescent="0.2">
      <c r="A97">
        <v>96</v>
      </c>
      <c r="B97" t="s">
        <v>738</v>
      </c>
      <c r="C97" t="s">
        <v>331</v>
      </c>
      <c r="D97" t="s">
        <v>332</v>
      </c>
      <c r="E97" t="s">
        <v>656</v>
      </c>
      <c r="F97" t="s">
        <v>656</v>
      </c>
      <c r="G97" t="s">
        <v>1157</v>
      </c>
      <c r="H97">
        <v>1992</v>
      </c>
      <c r="I97" t="s">
        <v>808</v>
      </c>
      <c r="J97" t="s">
        <v>1064</v>
      </c>
      <c r="K97" t="s">
        <v>986</v>
      </c>
      <c r="L97" t="s">
        <v>1041</v>
      </c>
      <c r="M97">
        <v>4331277</v>
      </c>
      <c r="N97" t="s">
        <v>33</v>
      </c>
      <c r="O97" t="s">
        <v>1172</v>
      </c>
      <c r="P97">
        <v>57.7</v>
      </c>
      <c r="Q97" t="s">
        <v>51</v>
      </c>
      <c r="R97" s="17" t="s">
        <v>1504</v>
      </c>
      <c r="S97">
        <v>4.0000000000000001E-3</v>
      </c>
      <c r="T97">
        <v>413.9</v>
      </c>
      <c r="U97">
        <v>1420</v>
      </c>
      <c r="V97">
        <v>0.50700000000000001</v>
      </c>
      <c r="W97">
        <v>46.2</v>
      </c>
      <c r="X97">
        <v>25</v>
      </c>
      <c r="Y97" s="12">
        <v>0</v>
      </c>
      <c r="Z97" t="s">
        <v>599</v>
      </c>
      <c r="AA97">
        <v>25000</v>
      </c>
      <c r="AB97">
        <v>179</v>
      </c>
      <c r="AC97">
        <v>13000</v>
      </c>
      <c r="AD97">
        <v>40500</v>
      </c>
      <c r="AE97" s="17">
        <v>3.0014242912656014E-3</v>
      </c>
      <c r="AF97" t="s">
        <v>18</v>
      </c>
      <c r="AG97"/>
      <c r="AK97" t="s">
        <v>4</v>
      </c>
      <c r="AL97" t="s">
        <v>1052</v>
      </c>
      <c r="AM97" t="s">
        <v>47</v>
      </c>
      <c r="AN97" t="s">
        <v>831</v>
      </c>
      <c r="AO97" t="s">
        <v>5</v>
      </c>
      <c r="AP97" t="s">
        <v>1141</v>
      </c>
      <c r="AQ97" t="s">
        <v>6</v>
      </c>
      <c r="AR97" t="s">
        <v>623</v>
      </c>
      <c r="AS97" t="s">
        <v>1030</v>
      </c>
      <c r="AT97" t="s">
        <v>846</v>
      </c>
      <c r="AU97" t="s">
        <v>10</v>
      </c>
      <c r="AV97">
        <v>48</v>
      </c>
      <c r="AW97" t="s">
        <v>7</v>
      </c>
      <c r="AX97">
        <f>VLOOKUP(AW97,Metric_Codes!$C$91:$D$95,2,FALSE)</f>
        <v>3</v>
      </c>
      <c r="AY97" t="s">
        <v>32</v>
      </c>
      <c r="AZ97" t="s">
        <v>816</v>
      </c>
      <c r="BA97">
        <v>96</v>
      </c>
      <c r="BB97" t="s">
        <v>7</v>
      </c>
      <c r="BC97">
        <f>VLOOKUP(BB97,Metric_Codes!$C$91:$D$95,2,FALSE)</f>
        <v>3</v>
      </c>
      <c r="BD97" t="s">
        <v>7</v>
      </c>
      <c r="BE97">
        <f>VLOOKUP(BD97,Metric_Codes!$C$91:$D$95,2,FALSE)</f>
        <v>3</v>
      </c>
      <c r="BF97">
        <f t="shared" si="1"/>
        <v>3</v>
      </c>
      <c r="BG97" t="s">
        <v>32</v>
      </c>
      <c r="BH97" t="s">
        <v>1037</v>
      </c>
      <c r="BI97">
        <v>8</v>
      </c>
      <c r="BJ97" t="s">
        <v>1373</v>
      </c>
    </row>
    <row r="98" spans="1:62" x14ac:dyDescent="0.2">
      <c r="A98">
        <v>97</v>
      </c>
      <c r="B98" t="s">
        <v>739</v>
      </c>
      <c r="C98" t="s">
        <v>240</v>
      </c>
      <c r="D98" t="s">
        <v>241</v>
      </c>
      <c r="E98" t="s">
        <v>656</v>
      </c>
      <c r="F98" t="s">
        <v>656</v>
      </c>
      <c r="G98" t="s">
        <v>1157</v>
      </c>
      <c r="H98">
        <v>1993</v>
      </c>
      <c r="I98" t="s">
        <v>809</v>
      </c>
      <c r="J98" t="s">
        <v>1064</v>
      </c>
      <c r="K98" t="s">
        <v>987</v>
      </c>
      <c r="L98" t="s">
        <v>1041</v>
      </c>
      <c r="M98">
        <v>124536000</v>
      </c>
      <c r="N98" t="s">
        <v>67</v>
      </c>
      <c r="O98" t="s">
        <v>1172</v>
      </c>
      <c r="P98">
        <v>72.099999999999994</v>
      </c>
      <c r="Q98" t="s">
        <v>47</v>
      </c>
      <c r="R98" s="17" t="s">
        <v>1505</v>
      </c>
      <c r="S98">
        <v>-5.0000000000000001E-3</v>
      </c>
      <c r="T98">
        <v>35765.9</v>
      </c>
      <c r="U98">
        <v>22020</v>
      </c>
      <c r="V98">
        <v>0.876</v>
      </c>
      <c r="W98">
        <v>32.1</v>
      </c>
      <c r="X98">
        <v>73</v>
      </c>
      <c r="Y98" s="12">
        <v>2.5653490000000001E-2</v>
      </c>
      <c r="Z98" t="s">
        <v>601</v>
      </c>
      <c r="AA98">
        <v>1000000</v>
      </c>
      <c r="AB98">
        <v>239</v>
      </c>
      <c r="AC98">
        <v>1620</v>
      </c>
      <c r="AD98">
        <v>7355</v>
      </c>
      <c r="AE98" s="17">
        <v>5.9059227853793279E-5</v>
      </c>
      <c r="AF98" t="s">
        <v>20</v>
      </c>
      <c r="AI98" s="13">
        <v>16000</v>
      </c>
      <c r="AJ98" t="s">
        <v>16</v>
      </c>
      <c r="AK98" t="s">
        <v>8</v>
      </c>
      <c r="AL98" t="s">
        <v>600</v>
      </c>
      <c r="AM98" t="s">
        <v>814</v>
      </c>
      <c r="AN98" t="s">
        <v>835</v>
      </c>
      <c r="AO98" t="s">
        <v>5</v>
      </c>
      <c r="AP98" t="s">
        <v>1142</v>
      </c>
      <c r="AQ98" t="s">
        <v>9</v>
      </c>
      <c r="AR98" t="s">
        <v>624</v>
      </c>
      <c r="AS98" t="s">
        <v>1030</v>
      </c>
      <c r="AT98" t="s">
        <v>629</v>
      </c>
      <c r="AU98" t="s">
        <v>816</v>
      </c>
      <c r="AV98">
        <v>96</v>
      </c>
      <c r="AW98" t="s">
        <v>635</v>
      </c>
      <c r="AX98">
        <f>VLOOKUP(AW98,Metric_Codes!$C$91:$D$95,2,FALSE)</f>
        <v>2</v>
      </c>
      <c r="AY98" t="s">
        <v>814</v>
      </c>
      <c r="AZ98" t="s">
        <v>816</v>
      </c>
      <c r="BA98">
        <v>96</v>
      </c>
      <c r="BB98" t="s">
        <v>635</v>
      </c>
      <c r="BC98">
        <f>VLOOKUP(BB98,Metric_Codes!$C$91:$D$95,2,FALSE)</f>
        <v>2</v>
      </c>
      <c r="BD98" t="s">
        <v>636</v>
      </c>
      <c r="BE98">
        <f>VLOOKUP(BD98,Metric_Codes!$C$91:$D$95,2,FALSE)</f>
        <v>5</v>
      </c>
      <c r="BF98">
        <f t="shared" si="1"/>
        <v>3.5</v>
      </c>
      <c r="BG98" t="s">
        <v>814</v>
      </c>
      <c r="BH98" t="s">
        <v>1051</v>
      </c>
      <c r="BI98">
        <v>4</v>
      </c>
      <c r="BJ98" t="s">
        <v>988</v>
      </c>
    </row>
    <row r="99" spans="1:62" x14ac:dyDescent="0.2">
      <c r="A99">
        <v>98</v>
      </c>
      <c r="B99" t="s">
        <v>740</v>
      </c>
      <c r="C99" t="s">
        <v>349</v>
      </c>
      <c r="D99" t="s">
        <v>350</v>
      </c>
      <c r="E99" t="s">
        <v>656</v>
      </c>
      <c r="F99" t="s">
        <v>656</v>
      </c>
      <c r="G99" t="s">
        <v>1157</v>
      </c>
      <c r="H99">
        <v>1998</v>
      </c>
      <c r="I99" t="s">
        <v>810</v>
      </c>
      <c r="J99" t="s">
        <v>1064</v>
      </c>
      <c r="K99" t="s">
        <v>989</v>
      </c>
      <c r="L99" t="s">
        <v>1041</v>
      </c>
      <c r="M99">
        <v>5291178</v>
      </c>
      <c r="N99" t="s">
        <v>33</v>
      </c>
      <c r="O99" t="s">
        <v>1172</v>
      </c>
      <c r="P99">
        <v>58.4</v>
      </c>
      <c r="Q99" t="s">
        <v>51</v>
      </c>
      <c r="R99" s="17" t="s">
        <v>1505</v>
      </c>
      <c r="S99">
        <v>-3.7999999999999999E-2</v>
      </c>
      <c r="T99">
        <v>716.2</v>
      </c>
      <c r="U99">
        <v>2070</v>
      </c>
      <c r="W99">
        <v>41.9</v>
      </c>
      <c r="X99">
        <v>28</v>
      </c>
      <c r="Y99" t="s">
        <v>936</v>
      </c>
      <c r="Z99" t="s">
        <v>601</v>
      </c>
      <c r="AA99">
        <v>50000</v>
      </c>
      <c r="AB99">
        <v>2182</v>
      </c>
      <c r="AC99">
        <v>10000</v>
      </c>
      <c r="AD99">
        <v>9867</v>
      </c>
      <c r="AE99" s="17">
        <v>1.864802129128901E-3</v>
      </c>
      <c r="AF99" t="s">
        <v>18</v>
      </c>
      <c r="AG99"/>
      <c r="AK99" t="s">
        <v>4</v>
      </c>
      <c r="AL99" t="s">
        <v>1052</v>
      </c>
      <c r="AM99" t="s">
        <v>47</v>
      </c>
      <c r="AN99" t="s">
        <v>834</v>
      </c>
      <c r="AO99" t="s">
        <v>5</v>
      </c>
      <c r="AP99" t="s">
        <v>1141</v>
      </c>
      <c r="AQ99" t="s">
        <v>6</v>
      </c>
      <c r="AR99" t="s">
        <v>623</v>
      </c>
      <c r="AS99" t="s">
        <v>1022</v>
      </c>
      <c r="AT99" t="s">
        <v>627</v>
      </c>
      <c r="AU99" t="s">
        <v>22</v>
      </c>
      <c r="AV99">
        <v>18</v>
      </c>
      <c r="AW99" t="s">
        <v>7</v>
      </c>
      <c r="AX99">
        <f>VLOOKUP(AW99,Metric_Codes!$C$91:$D$95,2,FALSE)</f>
        <v>3</v>
      </c>
      <c r="AY99" t="s">
        <v>32</v>
      </c>
      <c r="AZ99" t="s">
        <v>10</v>
      </c>
      <c r="BA99">
        <v>36</v>
      </c>
      <c r="BB99" t="s">
        <v>7</v>
      </c>
      <c r="BC99">
        <f>VLOOKUP(BB99,Metric_Codes!$C$91:$D$95,2,FALSE)</f>
        <v>3</v>
      </c>
      <c r="BD99" t="s">
        <v>11</v>
      </c>
      <c r="BE99">
        <f>VLOOKUP(BD99,Metric_Codes!$C$91:$D$95,2,FALSE)</f>
        <v>4</v>
      </c>
      <c r="BF99">
        <f t="shared" si="1"/>
        <v>3.5</v>
      </c>
      <c r="BG99" t="s">
        <v>32</v>
      </c>
      <c r="BH99" t="s">
        <v>1037</v>
      </c>
      <c r="BI99">
        <v>8</v>
      </c>
      <c r="BJ99" t="s">
        <v>990</v>
      </c>
    </row>
    <row r="100" spans="1:62" x14ac:dyDescent="0.2">
      <c r="A100">
        <v>99</v>
      </c>
      <c r="B100" t="s">
        <v>741</v>
      </c>
      <c r="C100" t="s">
        <v>353</v>
      </c>
      <c r="D100" t="s">
        <v>354</v>
      </c>
      <c r="E100" t="s">
        <v>656</v>
      </c>
      <c r="F100" t="s">
        <v>656</v>
      </c>
      <c r="G100" t="s">
        <v>1157</v>
      </c>
      <c r="H100">
        <v>2001</v>
      </c>
      <c r="I100" t="s">
        <v>811</v>
      </c>
      <c r="J100" t="s">
        <v>1063</v>
      </c>
      <c r="K100" t="s">
        <v>991</v>
      </c>
      <c r="L100" t="s">
        <v>1041</v>
      </c>
      <c r="M100">
        <v>26261363</v>
      </c>
      <c r="N100" t="s">
        <v>57</v>
      </c>
      <c r="O100" t="s">
        <v>1172</v>
      </c>
      <c r="P100">
        <v>67.8</v>
      </c>
      <c r="Q100" t="s">
        <v>37</v>
      </c>
      <c r="R100" s="17" t="s">
        <v>1504</v>
      </c>
      <c r="S100">
        <v>6.0000000000000001E-3</v>
      </c>
      <c r="T100">
        <v>1981.2</v>
      </c>
      <c r="U100">
        <v>5200</v>
      </c>
      <c r="V100">
        <v>0.60599999999999998</v>
      </c>
      <c r="W100">
        <v>43.3</v>
      </c>
      <c r="X100">
        <v>35</v>
      </c>
      <c r="Y100" s="12">
        <v>6.8759570000000002E-3</v>
      </c>
      <c r="Z100" t="s">
        <v>599</v>
      </c>
      <c r="AA100">
        <v>300000</v>
      </c>
      <c r="AB100">
        <v>145</v>
      </c>
      <c r="AC100">
        <v>124865</v>
      </c>
      <c r="AD100">
        <v>349978</v>
      </c>
      <c r="AE100" s="17">
        <v>1.3326726415532964E-2</v>
      </c>
      <c r="AF100" t="s">
        <v>18</v>
      </c>
      <c r="AG100"/>
      <c r="AH100">
        <v>8131</v>
      </c>
      <c r="AK100" t="s">
        <v>4</v>
      </c>
      <c r="AL100" t="s">
        <v>1052</v>
      </c>
      <c r="AM100" t="s">
        <v>47</v>
      </c>
      <c r="AN100" t="s">
        <v>834</v>
      </c>
      <c r="AO100" t="s">
        <v>5</v>
      </c>
      <c r="AP100" t="s">
        <v>1141</v>
      </c>
      <c r="AQ100" t="s">
        <v>6</v>
      </c>
      <c r="AR100" t="s">
        <v>624</v>
      </c>
      <c r="AS100" t="s">
        <v>1023</v>
      </c>
      <c r="AT100" t="s">
        <v>629</v>
      </c>
      <c r="AU100" t="s">
        <v>22</v>
      </c>
      <c r="AV100">
        <v>18</v>
      </c>
      <c r="AW100" t="s">
        <v>7</v>
      </c>
      <c r="AX100">
        <f>VLOOKUP(AW100,Metric_Codes!$C$91:$D$95,2,FALSE)</f>
        <v>3</v>
      </c>
      <c r="AY100" t="s">
        <v>32</v>
      </c>
      <c r="AZ100" t="s">
        <v>10</v>
      </c>
      <c r="BA100">
        <v>36</v>
      </c>
      <c r="BB100" t="s">
        <v>7</v>
      </c>
      <c r="BC100">
        <f>VLOOKUP(BB100,Metric_Codes!$C$91:$D$95,2,FALSE)</f>
        <v>3</v>
      </c>
      <c r="BD100" t="s">
        <v>11</v>
      </c>
      <c r="BE100">
        <f>VLOOKUP(BD100,Metric_Codes!$C$91:$D$95,2,FALSE)</f>
        <v>4</v>
      </c>
      <c r="BF100">
        <f t="shared" si="1"/>
        <v>3.5</v>
      </c>
      <c r="BG100" t="s">
        <v>32</v>
      </c>
      <c r="BH100" t="s">
        <v>1037</v>
      </c>
      <c r="BI100">
        <v>8</v>
      </c>
      <c r="BJ100" t="s">
        <v>1145</v>
      </c>
    </row>
    <row r="101" spans="1:62" x14ac:dyDescent="0.2">
      <c r="A101">
        <v>100</v>
      </c>
      <c r="B101" t="s">
        <v>742</v>
      </c>
      <c r="C101" t="s">
        <v>224</v>
      </c>
      <c r="D101" t="s">
        <v>225</v>
      </c>
      <c r="E101" t="s">
        <v>656</v>
      </c>
      <c r="F101" t="s">
        <v>656</v>
      </c>
      <c r="G101" t="s">
        <v>1157</v>
      </c>
      <c r="H101">
        <v>2006</v>
      </c>
      <c r="I101" t="s">
        <v>808</v>
      </c>
      <c r="J101" t="s">
        <v>1064</v>
      </c>
      <c r="K101" t="s">
        <v>993</v>
      </c>
      <c r="L101" t="s">
        <v>1041</v>
      </c>
      <c r="M101">
        <v>229838202</v>
      </c>
      <c r="N101" t="s">
        <v>57</v>
      </c>
      <c r="O101" t="s">
        <v>1185</v>
      </c>
      <c r="P101">
        <v>65.8</v>
      </c>
      <c r="Q101" t="s">
        <v>51</v>
      </c>
      <c r="R101" s="17" t="s">
        <v>1503</v>
      </c>
      <c r="S101">
        <v>5.5E-2</v>
      </c>
      <c r="T101">
        <v>1586.2</v>
      </c>
      <c r="U101">
        <v>6240</v>
      </c>
      <c r="V101">
        <v>0.56299999999999994</v>
      </c>
      <c r="W101">
        <v>38.1</v>
      </c>
      <c r="X101">
        <v>38</v>
      </c>
      <c r="Y101" s="12">
        <v>4.8075230000000002E-3</v>
      </c>
      <c r="Z101" t="s">
        <v>601</v>
      </c>
      <c r="AA101">
        <v>55000</v>
      </c>
      <c r="AB101">
        <v>802</v>
      </c>
      <c r="AC101">
        <v>3739</v>
      </c>
      <c r="AD101">
        <v>35543</v>
      </c>
      <c r="AE101" s="17">
        <v>1.546435696534034E-4</v>
      </c>
      <c r="AF101" t="s">
        <v>18</v>
      </c>
      <c r="AG101"/>
      <c r="AK101" t="s">
        <v>4</v>
      </c>
      <c r="AL101" t="s">
        <v>1052</v>
      </c>
      <c r="AM101" t="s">
        <v>47</v>
      </c>
      <c r="AN101" t="s">
        <v>834</v>
      </c>
      <c r="AO101" t="s">
        <v>5</v>
      </c>
      <c r="AP101" t="s">
        <v>1142</v>
      </c>
      <c r="AQ101" t="s">
        <v>6</v>
      </c>
      <c r="AR101" t="s">
        <v>624</v>
      </c>
      <c r="AS101" t="s">
        <v>1023</v>
      </c>
      <c r="AT101" t="s">
        <v>629</v>
      </c>
      <c r="AU101" t="s">
        <v>22</v>
      </c>
      <c r="AV101">
        <v>18</v>
      </c>
      <c r="AW101" t="s">
        <v>7</v>
      </c>
      <c r="AX101">
        <f>VLOOKUP(AW101,Metric_Codes!$C$91:$D$95,2,FALSE)</f>
        <v>3</v>
      </c>
      <c r="AY101" t="s">
        <v>32</v>
      </c>
      <c r="AZ101" t="s">
        <v>10</v>
      </c>
      <c r="BA101">
        <v>36</v>
      </c>
      <c r="BB101" t="s">
        <v>7</v>
      </c>
      <c r="BC101">
        <f>VLOOKUP(BB101,Metric_Codes!$C$91:$D$95,2,FALSE)</f>
        <v>3</v>
      </c>
      <c r="BD101" t="s">
        <v>7</v>
      </c>
      <c r="BE101">
        <f>VLOOKUP(BD101,Metric_Codes!$C$91:$D$95,2,FALSE)</f>
        <v>3</v>
      </c>
      <c r="BF101">
        <f t="shared" si="1"/>
        <v>3</v>
      </c>
      <c r="BG101" t="s">
        <v>32</v>
      </c>
      <c r="BH101" t="s">
        <v>1037</v>
      </c>
      <c r="BI101">
        <v>8</v>
      </c>
      <c r="BJ101" t="s">
        <v>992</v>
      </c>
    </row>
    <row r="102" spans="1:62" x14ac:dyDescent="0.2">
      <c r="A102">
        <v>101</v>
      </c>
      <c r="B102" t="s">
        <v>743</v>
      </c>
      <c r="C102" t="s">
        <v>395</v>
      </c>
      <c r="D102" t="s">
        <v>396</v>
      </c>
      <c r="E102" t="s">
        <v>656</v>
      </c>
      <c r="F102" t="s">
        <v>656</v>
      </c>
      <c r="G102" t="s">
        <v>1157</v>
      </c>
      <c r="H102">
        <v>2007</v>
      </c>
      <c r="I102" t="s">
        <v>1510</v>
      </c>
      <c r="J102" t="s">
        <v>1063</v>
      </c>
      <c r="K102" t="s">
        <v>998</v>
      </c>
      <c r="L102" t="s">
        <v>1041</v>
      </c>
      <c r="M102">
        <v>492940</v>
      </c>
      <c r="N102" t="s">
        <v>33</v>
      </c>
      <c r="O102" t="s">
        <v>1173</v>
      </c>
      <c r="P102">
        <v>54.6</v>
      </c>
      <c r="Q102" t="s">
        <v>51</v>
      </c>
      <c r="R102" s="17" t="s">
        <v>1503</v>
      </c>
      <c r="S102">
        <v>7.2999999999999995E-2</v>
      </c>
      <c r="T102">
        <v>1046.9000000000001</v>
      </c>
      <c r="U102">
        <v>1610</v>
      </c>
      <c r="W102">
        <v>37.1</v>
      </c>
      <c r="X102">
        <v>44</v>
      </c>
      <c r="Y102" t="s">
        <v>0</v>
      </c>
      <c r="Z102" t="s">
        <v>599</v>
      </c>
      <c r="AA102">
        <v>100000</v>
      </c>
      <c r="AB102">
        <v>112</v>
      </c>
      <c r="AD102">
        <v>37000</v>
      </c>
      <c r="AE102" s="17">
        <v>7.5059845011563278E-2</v>
      </c>
      <c r="AF102" t="s">
        <v>18</v>
      </c>
      <c r="AG102"/>
      <c r="AH102">
        <v>6670</v>
      </c>
      <c r="AI102" s="13">
        <v>1100</v>
      </c>
      <c r="AK102" t="s">
        <v>4</v>
      </c>
      <c r="AL102" t="s">
        <v>1052</v>
      </c>
      <c r="AM102" t="s">
        <v>47</v>
      </c>
      <c r="AN102" t="s">
        <v>834</v>
      </c>
      <c r="AO102" t="s">
        <v>5</v>
      </c>
      <c r="AP102" t="s">
        <v>1140</v>
      </c>
      <c r="AQ102" t="s">
        <v>6</v>
      </c>
      <c r="AR102" t="s">
        <v>623</v>
      </c>
      <c r="AS102" t="s">
        <v>1023</v>
      </c>
      <c r="AT102" t="s">
        <v>629</v>
      </c>
      <c r="AU102" t="s">
        <v>10</v>
      </c>
      <c r="AV102">
        <v>48</v>
      </c>
      <c r="AW102" t="s">
        <v>7</v>
      </c>
      <c r="AX102">
        <f>VLOOKUP(AW102,Metric_Codes!$C$91:$D$95,2,FALSE)</f>
        <v>3</v>
      </c>
      <c r="AY102" t="s">
        <v>32</v>
      </c>
      <c r="AZ102" t="s">
        <v>10</v>
      </c>
      <c r="BA102">
        <v>60</v>
      </c>
      <c r="BB102" t="s">
        <v>7</v>
      </c>
      <c r="BC102">
        <f>VLOOKUP(BB102,Metric_Codes!$C$91:$D$95,2,FALSE)</f>
        <v>3</v>
      </c>
      <c r="BD102" t="s">
        <v>7</v>
      </c>
      <c r="BE102">
        <f>VLOOKUP(BD102,Metric_Codes!$C$91:$D$95,2,FALSE)</f>
        <v>3</v>
      </c>
      <c r="BF102">
        <f t="shared" si="1"/>
        <v>3</v>
      </c>
      <c r="BG102" t="s">
        <v>32</v>
      </c>
      <c r="BH102" t="s">
        <v>1037</v>
      </c>
      <c r="BI102">
        <v>18</v>
      </c>
      <c r="BJ102" t="s">
        <v>995</v>
      </c>
    </row>
    <row r="103" spans="1:62" x14ac:dyDescent="0.2">
      <c r="A103">
        <v>102</v>
      </c>
      <c r="B103" t="s">
        <v>744</v>
      </c>
      <c r="C103" t="s">
        <v>371</v>
      </c>
      <c r="D103" t="s">
        <v>372</v>
      </c>
      <c r="E103" t="s">
        <v>656</v>
      </c>
      <c r="F103" t="s">
        <v>656</v>
      </c>
      <c r="G103" t="s">
        <v>1157</v>
      </c>
      <c r="H103">
        <v>2009</v>
      </c>
      <c r="I103" t="s">
        <v>1510</v>
      </c>
      <c r="J103" t="s">
        <v>1063</v>
      </c>
      <c r="K103" t="s">
        <v>997</v>
      </c>
      <c r="L103" t="s">
        <v>1041</v>
      </c>
      <c r="M103">
        <v>184826</v>
      </c>
      <c r="N103" t="s">
        <v>33</v>
      </c>
      <c r="O103" t="s">
        <v>1173</v>
      </c>
      <c r="P103">
        <v>68.7</v>
      </c>
      <c r="Q103" t="s">
        <v>37</v>
      </c>
      <c r="R103" s="17" t="s">
        <v>1505</v>
      </c>
      <c r="S103">
        <v>-4.8000000000000001E-2</v>
      </c>
      <c r="T103">
        <v>3035.1</v>
      </c>
      <c r="U103">
        <v>4970</v>
      </c>
      <c r="W103">
        <v>38.700000000000003</v>
      </c>
      <c r="X103" t="s">
        <v>0</v>
      </c>
      <c r="Y103" t="s">
        <v>0</v>
      </c>
      <c r="Z103" t="s">
        <v>601</v>
      </c>
      <c r="AA103">
        <v>124040</v>
      </c>
      <c r="AB103">
        <v>148</v>
      </c>
      <c r="AD103">
        <v>5584</v>
      </c>
      <c r="AE103" s="17">
        <v>3.0212199582309848E-2</v>
      </c>
      <c r="AF103" t="s">
        <v>18</v>
      </c>
      <c r="AG103"/>
      <c r="AH103">
        <v>16000</v>
      </c>
      <c r="AK103" t="s">
        <v>4</v>
      </c>
      <c r="AL103" t="s">
        <v>1052</v>
      </c>
      <c r="AM103" t="s">
        <v>47</v>
      </c>
      <c r="AN103" t="s">
        <v>834</v>
      </c>
      <c r="AO103" t="s">
        <v>5</v>
      </c>
      <c r="AP103" t="s">
        <v>1140</v>
      </c>
      <c r="AQ103" t="s">
        <v>9</v>
      </c>
      <c r="AR103" t="s">
        <v>623</v>
      </c>
      <c r="AS103" t="s">
        <v>1023</v>
      </c>
      <c r="AT103" t="s">
        <v>629</v>
      </c>
      <c r="AU103" t="s">
        <v>22</v>
      </c>
      <c r="AV103">
        <v>18</v>
      </c>
      <c r="AW103" t="s">
        <v>7</v>
      </c>
      <c r="AX103">
        <f>VLOOKUP(AW103,Metric_Codes!$C$91:$D$95,2,FALSE)</f>
        <v>3</v>
      </c>
      <c r="AY103" t="s">
        <v>32</v>
      </c>
      <c r="AZ103" t="s">
        <v>10</v>
      </c>
      <c r="BA103">
        <v>36</v>
      </c>
      <c r="BB103" t="s">
        <v>7</v>
      </c>
      <c r="BC103">
        <f>VLOOKUP(BB103,Metric_Codes!$C$91:$D$95,2,FALSE)</f>
        <v>3</v>
      </c>
      <c r="BD103" t="s">
        <v>11</v>
      </c>
      <c r="BE103">
        <f>VLOOKUP(BD103,Metric_Codes!$C$91:$D$95,2,FALSE)</f>
        <v>4</v>
      </c>
      <c r="BF103">
        <f t="shared" si="1"/>
        <v>3.5</v>
      </c>
      <c r="BG103" t="s">
        <v>32</v>
      </c>
      <c r="BH103" t="s">
        <v>1037</v>
      </c>
      <c r="BI103">
        <v>9</v>
      </c>
      <c r="BJ103" t="s">
        <v>996</v>
      </c>
    </row>
    <row r="104" spans="1:62" x14ac:dyDescent="0.2">
      <c r="A104">
        <v>103</v>
      </c>
      <c r="B104" t="s">
        <v>745</v>
      </c>
      <c r="C104" t="s">
        <v>74</v>
      </c>
      <c r="D104" t="s">
        <v>75</v>
      </c>
      <c r="E104" t="s">
        <v>641</v>
      </c>
      <c r="F104" t="s">
        <v>644</v>
      </c>
      <c r="G104" t="s">
        <v>1158</v>
      </c>
      <c r="H104">
        <v>1970</v>
      </c>
      <c r="I104" t="s">
        <v>753</v>
      </c>
      <c r="J104" t="s">
        <v>1064</v>
      </c>
      <c r="K104" t="s">
        <v>999</v>
      </c>
      <c r="L104" t="s">
        <v>1041</v>
      </c>
      <c r="M104">
        <v>65047770</v>
      </c>
      <c r="N104" t="s">
        <v>33</v>
      </c>
      <c r="O104" t="s">
        <v>1185</v>
      </c>
      <c r="P104">
        <v>55.6</v>
      </c>
      <c r="Q104" t="s">
        <v>51</v>
      </c>
      <c r="R104" s="17" t="s">
        <v>1503</v>
      </c>
      <c r="S104">
        <v>5.62E-2</v>
      </c>
      <c r="T104">
        <v>138.25</v>
      </c>
      <c r="U104">
        <v>850</v>
      </c>
      <c r="V104">
        <v>0.46200000000000002</v>
      </c>
      <c r="W104">
        <v>32.4</v>
      </c>
      <c r="X104">
        <v>26</v>
      </c>
      <c r="Y104" s="12">
        <v>0</v>
      </c>
      <c r="Z104" t="s">
        <v>14</v>
      </c>
      <c r="AA104">
        <v>86400</v>
      </c>
      <c r="AB104">
        <v>300317</v>
      </c>
      <c r="AD104">
        <v>3648110</v>
      </c>
      <c r="AE104" s="17">
        <v>5.6083552134070083E-2</v>
      </c>
      <c r="AF104" t="s">
        <v>18</v>
      </c>
      <c r="AG104"/>
      <c r="AH104">
        <v>65000</v>
      </c>
      <c r="AK104" t="s">
        <v>24</v>
      </c>
      <c r="AL104" t="s">
        <v>1052</v>
      </c>
      <c r="AM104" t="s">
        <v>47</v>
      </c>
      <c r="AN104" t="s">
        <v>832</v>
      </c>
      <c r="AO104" t="s">
        <v>5</v>
      </c>
      <c r="AP104" t="s">
        <v>1141</v>
      </c>
      <c r="AQ104" t="s">
        <v>6</v>
      </c>
      <c r="AR104" t="s">
        <v>623</v>
      </c>
      <c r="AS104" t="s">
        <v>1022</v>
      </c>
      <c r="AT104" t="s">
        <v>629</v>
      </c>
      <c r="AU104" t="s">
        <v>10</v>
      </c>
      <c r="AV104">
        <v>48</v>
      </c>
      <c r="AW104" t="s">
        <v>7</v>
      </c>
      <c r="AX104">
        <f>VLOOKUP(AW104,Metric_Codes!$C$91:$D$95,2,FALSE)</f>
        <v>3</v>
      </c>
      <c r="AY104" t="s">
        <v>32</v>
      </c>
      <c r="AZ104" t="s">
        <v>10</v>
      </c>
      <c r="BA104">
        <v>48</v>
      </c>
      <c r="BB104" t="s">
        <v>7</v>
      </c>
      <c r="BC104">
        <f>VLOOKUP(BB104,Metric_Codes!$C$91:$D$95,2,FALSE)</f>
        <v>3</v>
      </c>
      <c r="BD104" t="s">
        <v>11</v>
      </c>
      <c r="BE104">
        <f>VLOOKUP(BD104,Metric_Codes!$C$91:$D$95,2,FALSE)</f>
        <v>4</v>
      </c>
      <c r="BF104">
        <f t="shared" si="1"/>
        <v>3.5</v>
      </c>
      <c r="BG104" t="s">
        <v>32</v>
      </c>
      <c r="BH104" t="s">
        <v>1037</v>
      </c>
      <c r="BI104">
        <v>14</v>
      </c>
      <c r="BJ104" t="s">
        <v>1000</v>
      </c>
    </row>
  </sheetData>
  <autoFilter ref="A1:BJ104" xr:uid="{00000000-0009-0000-0000-000000000000}">
    <sortState xmlns:xlrd2="http://schemas.microsoft.com/office/spreadsheetml/2017/richdata2" ref="A2:BH104">
      <sortCondition ref="AY2:AY104"/>
      <sortCondition ref="BG2:BG104"/>
    </sortState>
  </autoFilter>
  <pageMargins left="0.7" right="0.7" top="0.75" bottom="0.75" header="0.3" footer="0.3"/>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65"/>
  <sheetViews>
    <sheetView topLeftCell="A8" workbookViewId="0">
      <selection activeCell="G16" sqref="G16"/>
    </sheetView>
  </sheetViews>
  <sheetFormatPr baseColWidth="10" defaultColWidth="8.83203125" defaultRowHeight="15" x14ac:dyDescent="0.2"/>
  <cols>
    <col min="1" max="1" width="21.5" style="16" bestFit="1" customWidth="1"/>
    <col min="2" max="2" width="44.5" style="16" bestFit="1" customWidth="1"/>
    <col min="3" max="3" width="122.33203125" style="16" customWidth="1"/>
    <col min="4" max="4" width="14" style="16" customWidth="1"/>
    <col min="5" max="5" width="15.5" style="16" bestFit="1" customWidth="1"/>
    <col min="6" max="6" width="16.33203125" style="16" bestFit="1" customWidth="1"/>
    <col min="7" max="7" width="70.1640625" style="16" customWidth="1"/>
    <col min="8" max="8" width="31.6640625" style="16" bestFit="1" customWidth="1"/>
    <col min="9" max="16384" width="8.83203125" style="16"/>
  </cols>
  <sheetData>
    <row r="1" spans="1:11" x14ac:dyDescent="0.2">
      <c r="A1" s="57" t="s">
        <v>813</v>
      </c>
    </row>
    <row r="2" spans="1:11" s="62" customFormat="1" x14ac:dyDescent="0.2">
      <c r="A2" s="58" t="s">
        <v>485</v>
      </c>
      <c r="B2" s="59" t="s">
        <v>486</v>
      </c>
      <c r="C2" s="59" t="s">
        <v>487</v>
      </c>
      <c r="D2" s="60" t="s">
        <v>488</v>
      </c>
      <c r="E2" s="60" t="s">
        <v>489</v>
      </c>
      <c r="F2" s="59" t="s">
        <v>490</v>
      </c>
      <c r="G2" s="61" t="s">
        <v>491</v>
      </c>
    </row>
    <row r="3" spans="1:11" ht="16" x14ac:dyDescent="0.2">
      <c r="A3" s="75" t="s">
        <v>492</v>
      </c>
      <c r="B3" s="46" t="s">
        <v>493</v>
      </c>
      <c r="C3" s="63" t="s">
        <v>494</v>
      </c>
      <c r="D3" s="64" t="s">
        <v>0</v>
      </c>
      <c r="E3" s="64" t="s">
        <v>0</v>
      </c>
      <c r="F3" s="64" t="s">
        <v>0</v>
      </c>
      <c r="G3" s="65" t="s">
        <v>495</v>
      </c>
    </row>
    <row r="4" spans="1:11" ht="16" x14ac:dyDescent="0.2">
      <c r="A4" s="76"/>
      <c r="B4" s="16" t="s">
        <v>496</v>
      </c>
      <c r="C4" s="66" t="s">
        <v>497</v>
      </c>
      <c r="D4" s="55" t="s">
        <v>0</v>
      </c>
      <c r="E4" s="55" t="s">
        <v>0</v>
      </c>
      <c r="F4" s="55" t="s">
        <v>0</v>
      </c>
      <c r="G4" s="56" t="s">
        <v>498</v>
      </c>
    </row>
    <row r="5" spans="1:11" ht="16" x14ac:dyDescent="0.2">
      <c r="A5" s="76"/>
      <c r="B5" s="16" t="s">
        <v>499</v>
      </c>
      <c r="C5" s="66" t="s">
        <v>500</v>
      </c>
      <c r="D5" s="55" t="s">
        <v>0</v>
      </c>
      <c r="E5" s="55" t="s">
        <v>0</v>
      </c>
      <c r="F5" s="55" t="s">
        <v>0</v>
      </c>
      <c r="G5" s="56" t="s">
        <v>501</v>
      </c>
    </row>
    <row r="6" spans="1:11" ht="16" x14ac:dyDescent="0.2">
      <c r="A6" s="76"/>
      <c r="B6" s="16" t="s">
        <v>502</v>
      </c>
      <c r="C6" s="66" t="s">
        <v>503</v>
      </c>
      <c r="D6" s="55" t="s">
        <v>0</v>
      </c>
      <c r="E6" s="55" t="s">
        <v>0</v>
      </c>
      <c r="F6" s="55" t="s">
        <v>0</v>
      </c>
      <c r="G6" s="56" t="s">
        <v>504</v>
      </c>
    </row>
    <row r="7" spans="1:11" ht="16" x14ac:dyDescent="0.2">
      <c r="A7" s="76"/>
      <c r="B7" s="16" t="s">
        <v>505</v>
      </c>
      <c r="C7" s="66" t="s">
        <v>506</v>
      </c>
      <c r="D7" s="55" t="s">
        <v>0</v>
      </c>
      <c r="E7" s="55" t="s">
        <v>0</v>
      </c>
      <c r="F7" s="55" t="s">
        <v>0</v>
      </c>
      <c r="G7" s="56" t="s">
        <v>504</v>
      </c>
    </row>
    <row r="8" spans="1:11" ht="16" x14ac:dyDescent="0.2">
      <c r="A8" s="76"/>
      <c r="B8" s="16" t="s">
        <v>1156</v>
      </c>
      <c r="C8" s="67" t="s">
        <v>1521</v>
      </c>
      <c r="D8" s="55"/>
      <c r="E8" s="55"/>
      <c r="F8" s="55"/>
      <c r="G8" s="56" t="s">
        <v>504</v>
      </c>
      <c r="K8" s="16" t="s">
        <v>1520</v>
      </c>
    </row>
    <row r="9" spans="1:11" ht="16" x14ac:dyDescent="0.2">
      <c r="A9" s="76"/>
      <c r="B9" s="16" t="s">
        <v>483</v>
      </c>
      <c r="C9" s="66" t="s">
        <v>507</v>
      </c>
      <c r="D9" s="55" t="s">
        <v>0</v>
      </c>
      <c r="E9" s="55" t="s">
        <v>0</v>
      </c>
      <c r="F9" s="55" t="s">
        <v>0</v>
      </c>
      <c r="G9" s="56" t="s">
        <v>504</v>
      </c>
      <c r="K9" s="16" t="s">
        <v>1157</v>
      </c>
    </row>
    <row r="10" spans="1:11" ht="16" x14ac:dyDescent="0.2">
      <c r="A10" s="76"/>
      <c r="B10" s="16" t="s">
        <v>508</v>
      </c>
      <c r="C10" s="66" t="s">
        <v>509</v>
      </c>
      <c r="D10" s="55" t="s">
        <v>0</v>
      </c>
      <c r="E10" s="55" t="s">
        <v>0</v>
      </c>
      <c r="F10" s="55" t="s">
        <v>0</v>
      </c>
      <c r="G10" s="56" t="s">
        <v>504</v>
      </c>
    </row>
    <row r="11" spans="1:11" x14ac:dyDescent="0.2">
      <c r="A11" s="76"/>
      <c r="B11" s="16" t="s">
        <v>1042</v>
      </c>
      <c r="C11" s="66"/>
      <c r="D11" s="55"/>
      <c r="E11" s="55"/>
      <c r="F11" s="55" t="s">
        <v>593</v>
      </c>
      <c r="G11" s="56"/>
    </row>
    <row r="12" spans="1:11" ht="16" x14ac:dyDescent="0.2">
      <c r="A12" s="76"/>
      <c r="B12" s="16" t="s">
        <v>510</v>
      </c>
      <c r="C12" s="66" t="s">
        <v>511</v>
      </c>
      <c r="D12" s="55" t="s">
        <v>0</v>
      </c>
      <c r="E12" s="55" t="s">
        <v>0</v>
      </c>
      <c r="F12" s="55" t="s">
        <v>0</v>
      </c>
      <c r="G12" s="56" t="s">
        <v>0</v>
      </c>
    </row>
    <row r="13" spans="1:11" x14ac:dyDescent="0.2">
      <c r="A13" s="77"/>
      <c r="B13" s="47" t="s">
        <v>1039</v>
      </c>
      <c r="C13" s="51"/>
      <c r="D13" s="52" t="s">
        <v>0</v>
      </c>
      <c r="E13" s="52" t="s">
        <v>0</v>
      </c>
      <c r="F13" s="52" t="s">
        <v>582</v>
      </c>
      <c r="G13" s="53"/>
    </row>
    <row r="14" spans="1:11" ht="16" x14ac:dyDescent="0.2">
      <c r="A14" s="83" t="s">
        <v>512</v>
      </c>
      <c r="B14" s="46" t="s">
        <v>513</v>
      </c>
      <c r="C14" s="63" t="s">
        <v>514</v>
      </c>
      <c r="D14" s="64" t="s">
        <v>515</v>
      </c>
      <c r="E14" s="64" t="s">
        <v>516</v>
      </c>
      <c r="F14" s="46" t="s">
        <v>517</v>
      </c>
      <c r="G14" s="65" t="s">
        <v>518</v>
      </c>
    </row>
    <row r="15" spans="1:11" ht="32" x14ac:dyDescent="0.2">
      <c r="A15" s="84"/>
      <c r="B15" s="16" t="s">
        <v>519</v>
      </c>
      <c r="C15" s="66" t="s">
        <v>520</v>
      </c>
      <c r="D15" s="55">
        <v>2018</v>
      </c>
      <c r="E15" s="55" t="s">
        <v>516</v>
      </c>
      <c r="F15" s="55" t="s">
        <v>0</v>
      </c>
      <c r="G15" s="56" t="s">
        <v>521</v>
      </c>
    </row>
    <row r="16" spans="1:11" ht="16" x14ac:dyDescent="0.2">
      <c r="A16" s="84"/>
      <c r="B16" s="16" t="s">
        <v>1372</v>
      </c>
      <c r="C16" s="66" t="s">
        <v>1522</v>
      </c>
      <c r="D16" s="55">
        <v>2018</v>
      </c>
      <c r="E16" s="55" t="s">
        <v>516</v>
      </c>
      <c r="F16" s="55" t="s">
        <v>527</v>
      </c>
      <c r="G16" s="56" t="s">
        <v>1532</v>
      </c>
    </row>
    <row r="17" spans="1:7" ht="16" x14ac:dyDescent="0.2">
      <c r="A17" s="84"/>
      <c r="B17" s="16" t="s">
        <v>1371</v>
      </c>
      <c r="C17" s="66" t="s">
        <v>1523</v>
      </c>
      <c r="D17" s="55">
        <v>2018</v>
      </c>
      <c r="E17" s="55" t="s">
        <v>516</v>
      </c>
      <c r="F17" s="55" t="s">
        <v>527</v>
      </c>
      <c r="G17" s="56"/>
    </row>
    <row r="18" spans="1:7" ht="16" x14ac:dyDescent="0.2">
      <c r="A18" s="84"/>
      <c r="B18" s="16" t="s">
        <v>1502</v>
      </c>
      <c r="C18" s="66" t="s">
        <v>1524</v>
      </c>
      <c r="D18" s="55" t="s">
        <v>515</v>
      </c>
      <c r="E18" s="55" t="s">
        <v>516</v>
      </c>
      <c r="F18" s="16" t="s">
        <v>1527</v>
      </c>
      <c r="G18" s="56"/>
    </row>
    <row r="19" spans="1:7" ht="32" x14ac:dyDescent="0.2">
      <c r="A19" s="84"/>
      <c r="B19" s="16" t="s">
        <v>522</v>
      </c>
      <c r="C19" s="66" t="s">
        <v>523</v>
      </c>
      <c r="D19" s="55" t="s">
        <v>515</v>
      </c>
      <c r="E19" s="55" t="s">
        <v>516</v>
      </c>
      <c r="F19" s="55" t="s">
        <v>0</v>
      </c>
      <c r="G19" s="56" t="s">
        <v>524</v>
      </c>
    </row>
    <row r="20" spans="1:7" ht="16" x14ac:dyDescent="0.2">
      <c r="A20" s="84"/>
      <c r="B20" s="16" t="s">
        <v>525</v>
      </c>
      <c r="C20" s="66" t="s">
        <v>526</v>
      </c>
      <c r="D20" s="55" t="s">
        <v>515</v>
      </c>
      <c r="E20" s="55" t="s">
        <v>516</v>
      </c>
      <c r="F20" s="16" t="s">
        <v>527</v>
      </c>
      <c r="G20" s="56" t="s">
        <v>528</v>
      </c>
    </row>
    <row r="21" spans="1:7" ht="16" x14ac:dyDescent="0.2">
      <c r="A21" s="84"/>
      <c r="B21" s="16" t="s">
        <v>529</v>
      </c>
      <c r="C21" s="66" t="s">
        <v>530</v>
      </c>
      <c r="D21" s="55" t="s">
        <v>515</v>
      </c>
      <c r="E21" s="55" t="s">
        <v>516</v>
      </c>
      <c r="F21" s="16" t="s">
        <v>531</v>
      </c>
      <c r="G21" s="56" t="s">
        <v>532</v>
      </c>
    </row>
    <row r="22" spans="1:7" ht="16" x14ac:dyDescent="0.2">
      <c r="A22" s="84"/>
      <c r="B22" s="16" t="s">
        <v>533</v>
      </c>
      <c r="C22" s="66" t="s">
        <v>534</v>
      </c>
      <c r="D22" s="55" t="s">
        <v>515</v>
      </c>
      <c r="E22" s="55" t="s">
        <v>516</v>
      </c>
      <c r="F22" s="16" t="s">
        <v>531</v>
      </c>
      <c r="G22" s="56" t="s">
        <v>535</v>
      </c>
    </row>
    <row r="23" spans="1:7" ht="31" customHeight="1" x14ac:dyDescent="0.2">
      <c r="A23" s="85"/>
      <c r="B23" s="16" t="s">
        <v>536</v>
      </c>
      <c r="C23" s="66" t="s">
        <v>537</v>
      </c>
      <c r="D23" s="55">
        <v>2017</v>
      </c>
      <c r="E23" s="55" t="s">
        <v>516</v>
      </c>
      <c r="F23" s="16" t="s">
        <v>538</v>
      </c>
      <c r="G23" s="56" t="s">
        <v>539</v>
      </c>
    </row>
    <row r="24" spans="1:7" ht="16" x14ac:dyDescent="0.2">
      <c r="A24" s="86" t="s">
        <v>550</v>
      </c>
      <c r="B24" s="16" t="s">
        <v>540</v>
      </c>
      <c r="C24" s="66" t="s">
        <v>541</v>
      </c>
      <c r="D24" s="55" t="s">
        <v>542</v>
      </c>
      <c r="E24" s="55" t="s">
        <v>516</v>
      </c>
      <c r="F24" s="16" t="s">
        <v>543</v>
      </c>
      <c r="G24" s="56" t="s">
        <v>544</v>
      </c>
    </row>
    <row r="25" spans="1:7" ht="16" x14ac:dyDescent="0.2">
      <c r="A25" s="87"/>
      <c r="B25" s="16" t="s">
        <v>545</v>
      </c>
      <c r="C25" s="66" t="s">
        <v>1382</v>
      </c>
      <c r="D25" s="55">
        <v>2018</v>
      </c>
      <c r="E25" s="55" t="s">
        <v>516</v>
      </c>
      <c r="F25" s="16" t="s">
        <v>543</v>
      </c>
      <c r="G25" s="56" t="s">
        <v>546</v>
      </c>
    </row>
    <row r="26" spans="1:7" ht="32" x14ac:dyDescent="0.2">
      <c r="A26" s="87"/>
      <c r="B26" s="47" t="s">
        <v>547</v>
      </c>
      <c r="C26" s="51" t="s">
        <v>548</v>
      </c>
      <c r="D26" s="52" t="s">
        <v>515</v>
      </c>
      <c r="E26" s="52" t="s">
        <v>516</v>
      </c>
      <c r="F26" s="47" t="s">
        <v>527</v>
      </c>
      <c r="G26" s="53" t="s">
        <v>549</v>
      </c>
    </row>
    <row r="27" spans="1:7" ht="16" x14ac:dyDescent="0.2">
      <c r="A27" s="87"/>
      <c r="B27" s="46" t="s">
        <v>551</v>
      </c>
      <c r="C27" s="63" t="s">
        <v>552</v>
      </c>
      <c r="D27" s="64" t="s">
        <v>0</v>
      </c>
      <c r="E27" s="64" t="s">
        <v>510</v>
      </c>
      <c r="F27" s="46" t="s">
        <v>553</v>
      </c>
      <c r="G27" s="65" t="s">
        <v>0</v>
      </c>
    </row>
    <row r="28" spans="1:7" ht="16" x14ac:dyDescent="0.2">
      <c r="A28" s="87"/>
      <c r="B28" s="16" t="s">
        <v>554</v>
      </c>
      <c r="C28" s="66" t="s">
        <v>555</v>
      </c>
      <c r="D28" s="55">
        <v>2018</v>
      </c>
      <c r="E28" s="55" t="s">
        <v>516</v>
      </c>
      <c r="F28" s="68" t="s">
        <v>556</v>
      </c>
      <c r="G28" s="56" t="s">
        <v>504</v>
      </c>
    </row>
    <row r="29" spans="1:7" ht="16" x14ac:dyDescent="0.2">
      <c r="A29" s="88"/>
      <c r="B29" s="16" t="s">
        <v>557</v>
      </c>
      <c r="C29" s="66" t="s">
        <v>558</v>
      </c>
      <c r="D29" s="55" t="s">
        <v>0</v>
      </c>
      <c r="E29" s="55" t="s">
        <v>516</v>
      </c>
      <c r="F29" s="16" t="s">
        <v>517</v>
      </c>
      <c r="G29" s="56" t="s">
        <v>504</v>
      </c>
    </row>
    <row r="30" spans="1:7" ht="16" x14ac:dyDescent="0.2">
      <c r="A30" s="78" t="s">
        <v>566</v>
      </c>
      <c r="B30" s="16" t="s">
        <v>559</v>
      </c>
      <c r="C30" s="66" t="s">
        <v>560</v>
      </c>
      <c r="D30" s="55" t="s">
        <v>0</v>
      </c>
      <c r="E30" s="55" t="s">
        <v>516</v>
      </c>
      <c r="F30" s="16" t="s">
        <v>517</v>
      </c>
      <c r="G30" s="56" t="s">
        <v>504</v>
      </c>
    </row>
    <row r="31" spans="1:7" ht="16" x14ac:dyDescent="0.2">
      <c r="A31" s="79"/>
      <c r="B31" s="16" t="s">
        <v>561</v>
      </c>
      <c r="C31" s="66" t="s">
        <v>562</v>
      </c>
      <c r="D31" s="55" t="s">
        <v>0</v>
      </c>
      <c r="E31" s="55" t="s">
        <v>516</v>
      </c>
      <c r="F31" s="16" t="s">
        <v>517</v>
      </c>
      <c r="G31" s="56" t="s">
        <v>504</v>
      </c>
    </row>
    <row r="32" spans="1:7" ht="16" x14ac:dyDescent="0.2">
      <c r="A32" s="79"/>
      <c r="B32" s="47" t="s">
        <v>563</v>
      </c>
      <c r="C32" s="51" t="s">
        <v>564</v>
      </c>
      <c r="D32" s="52" t="s">
        <v>0</v>
      </c>
      <c r="E32" s="52" t="s">
        <v>516</v>
      </c>
      <c r="F32" s="47" t="s">
        <v>812</v>
      </c>
      <c r="G32" s="53" t="s">
        <v>565</v>
      </c>
    </row>
    <row r="33" spans="1:7" ht="16" x14ac:dyDescent="0.2">
      <c r="A33" s="79"/>
      <c r="B33" s="46" t="s">
        <v>567</v>
      </c>
      <c r="C33" s="63" t="s">
        <v>568</v>
      </c>
      <c r="D33" s="64" t="s">
        <v>0</v>
      </c>
      <c r="E33" s="64" t="s">
        <v>510</v>
      </c>
      <c r="F33" s="46" t="s">
        <v>553</v>
      </c>
      <c r="G33" s="65" t="s">
        <v>0</v>
      </c>
    </row>
    <row r="34" spans="1:7" ht="16" x14ac:dyDescent="0.2">
      <c r="A34" s="79"/>
      <c r="B34" s="16" t="s">
        <v>570</v>
      </c>
      <c r="C34" s="66" t="s">
        <v>571</v>
      </c>
      <c r="D34" s="55" t="s">
        <v>515</v>
      </c>
      <c r="E34" s="55" t="s">
        <v>516</v>
      </c>
      <c r="F34" s="16" t="s">
        <v>556</v>
      </c>
      <c r="G34" s="56" t="s">
        <v>0</v>
      </c>
    </row>
    <row r="35" spans="1:7" ht="16" x14ac:dyDescent="0.2">
      <c r="A35" s="79"/>
      <c r="B35" s="16" t="s">
        <v>884</v>
      </c>
      <c r="C35" s="66" t="s">
        <v>572</v>
      </c>
      <c r="D35" s="55" t="s">
        <v>515</v>
      </c>
      <c r="E35" s="55" t="s">
        <v>516</v>
      </c>
      <c r="F35" s="16" t="s">
        <v>556</v>
      </c>
      <c r="G35" s="56" t="s">
        <v>0</v>
      </c>
    </row>
    <row r="36" spans="1:7" ht="16" x14ac:dyDescent="0.2">
      <c r="A36" s="79"/>
      <c r="B36" s="16" t="s">
        <v>573</v>
      </c>
      <c r="C36" s="66" t="s">
        <v>574</v>
      </c>
      <c r="D36" s="55" t="s">
        <v>515</v>
      </c>
      <c r="E36" s="55" t="s">
        <v>516</v>
      </c>
      <c r="F36" s="16" t="s">
        <v>556</v>
      </c>
      <c r="G36" s="56" t="s">
        <v>504</v>
      </c>
    </row>
    <row r="37" spans="1:7" ht="16" x14ac:dyDescent="0.2">
      <c r="A37" s="80"/>
      <c r="B37" s="16" t="s">
        <v>1380</v>
      </c>
      <c r="C37" s="66" t="s">
        <v>569</v>
      </c>
      <c r="D37" s="55" t="s">
        <v>0</v>
      </c>
      <c r="E37" s="55" t="s">
        <v>510</v>
      </c>
      <c r="F37" s="16" t="s">
        <v>553</v>
      </c>
      <c r="G37" s="56" t="s">
        <v>0</v>
      </c>
    </row>
    <row r="38" spans="1:7" ht="37" customHeight="1" x14ac:dyDescent="0.2">
      <c r="A38" s="89" t="s">
        <v>575</v>
      </c>
      <c r="B38" s="16" t="s">
        <v>1381</v>
      </c>
      <c r="C38" s="66" t="s">
        <v>1056</v>
      </c>
      <c r="D38" s="55" t="s">
        <v>0</v>
      </c>
      <c r="E38" s="55" t="s">
        <v>510</v>
      </c>
      <c r="F38" s="16" t="s">
        <v>553</v>
      </c>
      <c r="G38" s="56" t="s">
        <v>0</v>
      </c>
    </row>
    <row r="39" spans="1:7" ht="16" x14ac:dyDescent="0.2">
      <c r="A39" s="90"/>
      <c r="B39" s="16" t="s">
        <v>1046</v>
      </c>
      <c r="C39" s="66" t="s">
        <v>1036</v>
      </c>
      <c r="D39" s="55" t="s">
        <v>0</v>
      </c>
      <c r="E39" s="55" t="s">
        <v>510</v>
      </c>
      <c r="F39" s="16" t="s">
        <v>582</v>
      </c>
      <c r="G39" s="56"/>
    </row>
    <row r="40" spans="1:7" ht="16" x14ac:dyDescent="0.2">
      <c r="A40" s="90"/>
      <c r="B40" s="47" t="s">
        <v>1044</v>
      </c>
      <c r="C40" s="51" t="s">
        <v>1048</v>
      </c>
      <c r="D40" s="52" t="s">
        <v>0</v>
      </c>
      <c r="E40" s="52" t="s">
        <v>510</v>
      </c>
      <c r="F40" s="47" t="s">
        <v>593</v>
      </c>
      <c r="G40" s="53"/>
    </row>
    <row r="41" spans="1:7" ht="48" x14ac:dyDescent="0.2">
      <c r="A41" s="91"/>
      <c r="B41" s="46" t="s">
        <v>829</v>
      </c>
      <c r="C41" s="63" t="s">
        <v>830</v>
      </c>
      <c r="D41" s="64" t="s">
        <v>0</v>
      </c>
      <c r="E41" s="64" t="s">
        <v>516</v>
      </c>
      <c r="F41" s="64" t="s">
        <v>576</v>
      </c>
      <c r="G41" s="65" t="s">
        <v>1049</v>
      </c>
    </row>
    <row r="42" spans="1:7" ht="32" x14ac:dyDescent="0.2">
      <c r="A42" s="92" t="s">
        <v>583</v>
      </c>
      <c r="B42" s="16" t="s">
        <v>577</v>
      </c>
      <c r="C42" s="66" t="s">
        <v>578</v>
      </c>
      <c r="D42" s="55" t="s">
        <v>0</v>
      </c>
      <c r="E42" s="55" t="s">
        <v>516</v>
      </c>
      <c r="F42" s="16" t="s">
        <v>579</v>
      </c>
      <c r="G42" s="56" t="s">
        <v>0</v>
      </c>
    </row>
    <row r="43" spans="1:7" ht="32" x14ac:dyDescent="0.2">
      <c r="A43" s="93"/>
      <c r="B43" s="16" t="s">
        <v>1138</v>
      </c>
      <c r="C43" s="66" t="s">
        <v>1139</v>
      </c>
      <c r="D43" s="55"/>
      <c r="E43" s="55"/>
      <c r="F43" s="16" t="s">
        <v>553</v>
      </c>
      <c r="G43" s="56"/>
    </row>
    <row r="44" spans="1:7" ht="16" x14ac:dyDescent="0.2">
      <c r="A44" s="9"/>
      <c r="B44" s="47" t="s">
        <v>580</v>
      </c>
      <c r="C44" s="51" t="s">
        <v>581</v>
      </c>
      <c r="D44" s="52" t="s">
        <v>0</v>
      </c>
      <c r="E44" s="52" t="s">
        <v>510</v>
      </c>
      <c r="F44" s="47" t="s">
        <v>582</v>
      </c>
      <c r="G44" s="53" t="s">
        <v>0</v>
      </c>
    </row>
    <row r="45" spans="1:7" ht="16" x14ac:dyDescent="0.2">
      <c r="A45" s="81" t="s">
        <v>588</v>
      </c>
      <c r="B45" s="46" t="s">
        <v>584</v>
      </c>
      <c r="C45" s="63" t="s">
        <v>585</v>
      </c>
      <c r="D45" s="64" t="s">
        <v>0</v>
      </c>
      <c r="E45" s="64" t="s">
        <v>510</v>
      </c>
      <c r="F45" s="46" t="s">
        <v>582</v>
      </c>
      <c r="G45" s="65" t="s">
        <v>0</v>
      </c>
    </row>
    <row r="46" spans="1:7" ht="16" x14ac:dyDescent="0.2">
      <c r="A46" s="82"/>
      <c r="B46" s="16" t="s">
        <v>484</v>
      </c>
      <c r="C46" s="66" t="s">
        <v>586</v>
      </c>
      <c r="D46" s="55" t="s">
        <v>0</v>
      </c>
      <c r="E46" s="55" t="s">
        <v>510</v>
      </c>
      <c r="F46" s="16" t="s">
        <v>587</v>
      </c>
      <c r="G46" s="56" t="s">
        <v>0</v>
      </c>
    </row>
    <row r="47" spans="1:7" ht="16" x14ac:dyDescent="0.2">
      <c r="A47" s="82"/>
      <c r="B47" s="47" t="s">
        <v>844</v>
      </c>
      <c r="C47" s="51" t="s">
        <v>1026</v>
      </c>
      <c r="D47" s="52" t="s">
        <v>0</v>
      </c>
      <c r="E47" s="52" t="s">
        <v>510</v>
      </c>
      <c r="F47" s="47" t="s">
        <v>553</v>
      </c>
      <c r="G47" s="53"/>
    </row>
    <row r="48" spans="1:7" ht="32" x14ac:dyDescent="0.2">
      <c r="A48" s="82" t="s">
        <v>594</v>
      </c>
      <c r="B48" s="48" t="s">
        <v>842</v>
      </c>
      <c r="C48" s="63" t="s">
        <v>589</v>
      </c>
      <c r="D48" s="64" t="s">
        <v>0</v>
      </c>
      <c r="E48" s="64" t="s">
        <v>510</v>
      </c>
      <c r="F48" s="46" t="s">
        <v>848</v>
      </c>
      <c r="G48" s="65" t="s">
        <v>0</v>
      </c>
    </row>
    <row r="49" spans="1:7" ht="39" customHeight="1" x14ac:dyDescent="0.2">
      <c r="A49" s="82"/>
      <c r="B49" s="49" t="s">
        <v>1167</v>
      </c>
      <c r="C49" s="66" t="s">
        <v>1525</v>
      </c>
      <c r="D49" s="55"/>
      <c r="E49" s="55"/>
      <c r="F49" s="16" t="s">
        <v>1526</v>
      </c>
      <c r="G49" s="56"/>
    </row>
    <row r="50" spans="1:7" ht="32" x14ac:dyDescent="0.2">
      <c r="A50" s="82"/>
      <c r="B50" s="49" t="s">
        <v>841</v>
      </c>
      <c r="C50" s="66" t="s">
        <v>591</v>
      </c>
      <c r="D50" s="55" t="s">
        <v>0</v>
      </c>
      <c r="E50" s="55" t="s">
        <v>510</v>
      </c>
      <c r="F50" s="16" t="s">
        <v>553</v>
      </c>
      <c r="G50" s="56" t="s">
        <v>0</v>
      </c>
    </row>
    <row r="51" spans="1:7" ht="16" x14ac:dyDescent="0.2">
      <c r="A51" s="82"/>
      <c r="B51" s="49" t="s">
        <v>840</v>
      </c>
      <c r="C51" s="66" t="s">
        <v>592</v>
      </c>
      <c r="D51" s="55" t="s">
        <v>0</v>
      </c>
      <c r="E51" s="55" t="s">
        <v>0</v>
      </c>
      <c r="F51" s="16" t="s">
        <v>593</v>
      </c>
      <c r="G51" s="56" t="s">
        <v>0</v>
      </c>
    </row>
    <row r="52" spans="1:7" ht="32" x14ac:dyDescent="0.2">
      <c r="A52" s="8" t="s">
        <v>1047</v>
      </c>
      <c r="B52" s="49" t="s">
        <v>839</v>
      </c>
      <c r="C52" s="66" t="s">
        <v>595</v>
      </c>
      <c r="D52" s="55" t="s">
        <v>0</v>
      </c>
      <c r="E52" s="55" t="s">
        <v>510</v>
      </c>
      <c r="F52" s="16" t="s">
        <v>590</v>
      </c>
      <c r="G52" s="56" t="s">
        <v>0</v>
      </c>
    </row>
    <row r="53" spans="1:7" ht="16" x14ac:dyDescent="0.2">
      <c r="B53" s="49" t="s">
        <v>1528</v>
      </c>
      <c r="C53" s="66" t="s">
        <v>1529</v>
      </c>
      <c r="D53" s="55"/>
      <c r="E53" s="55"/>
      <c r="F53" s="16" t="s">
        <v>1530</v>
      </c>
      <c r="G53" s="56"/>
    </row>
    <row r="54" spans="1:7" ht="48" x14ac:dyDescent="0.2">
      <c r="B54" s="49" t="s">
        <v>843</v>
      </c>
      <c r="C54" s="54" t="s">
        <v>885</v>
      </c>
      <c r="D54" s="55" t="s">
        <v>0</v>
      </c>
      <c r="E54" s="55" t="s">
        <v>510</v>
      </c>
      <c r="F54" s="16" t="s">
        <v>553</v>
      </c>
      <c r="G54" s="56" t="s">
        <v>0</v>
      </c>
    </row>
    <row r="55" spans="1:7" ht="32" x14ac:dyDescent="0.2">
      <c r="A55" s="70" t="s">
        <v>1159</v>
      </c>
      <c r="B55" s="49" t="s">
        <v>837</v>
      </c>
      <c r="C55" s="54" t="s">
        <v>886</v>
      </c>
      <c r="D55" s="55" t="s">
        <v>0</v>
      </c>
      <c r="E55" s="55" t="s">
        <v>510</v>
      </c>
      <c r="F55" s="16" t="s">
        <v>553</v>
      </c>
      <c r="G55" s="56"/>
    </row>
    <row r="56" spans="1:7" ht="16" x14ac:dyDescent="0.2">
      <c r="A56" s="70"/>
      <c r="B56" s="49" t="s">
        <v>1170</v>
      </c>
      <c r="C56" s="54" t="s">
        <v>1531</v>
      </c>
      <c r="D56" s="55"/>
      <c r="E56" s="55" t="s">
        <v>510</v>
      </c>
      <c r="F56" s="16" t="s">
        <v>553</v>
      </c>
      <c r="G56" s="56"/>
    </row>
    <row r="57" spans="1:7" x14ac:dyDescent="0.2">
      <c r="A57" s="70"/>
      <c r="B57" s="49"/>
      <c r="C57" s="54"/>
      <c r="D57" s="55"/>
      <c r="E57" s="55"/>
      <c r="G57" s="56"/>
    </row>
    <row r="58" spans="1:7" ht="16" x14ac:dyDescent="0.2">
      <c r="A58" s="70" t="s">
        <v>1161</v>
      </c>
      <c r="B58" s="49" t="s">
        <v>838</v>
      </c>
      <c r="C58" s="66" t="s">
        <v>596</v>
      </c>
      <c r="D58" s="55" t="s">
        <v>0</v>
      </c>
      <c r="E58" s="55" t="s">
        <v>0</v>
      </c>
      <c r="F58" s="16" t="s">
        <v>593</v>
      </c>
      <c r="G58" s="56" t="s">
        <v>0</v>
      </c>
    </row>
    <row r="59" spans="1:7" ht="16" x14ac:dyDescent="0.2">
      <c r="A59" s="70" t="s">
        <v>1163</v>
      </c>
      <c r="B59" s="50" t="s">
        <v>1045</v>
      </c>
      <c r="C59" s="51" t="s">
        <v>1038</v>
      </c>
      <c r="D59" s="52" t="s">
        <v>0</v>
      </c>
      <c r="E59" s="52" t="s">
        <v>510</v>
      </c>
      <c r="F59" s="47" t="s">
        <v>553</v>
      </c>
      <c r="G59" s="69"/>
    </row>
    <row r="60" spans="1:7" x14ac:dyDescent="0.2">
      <c r="A60" s="70" t="s">
        <v>1165</v>
      </c>
    </row>
    <row r="62" spans="1:7" x14ac:dyDescent="0.2">
      <c r="B62" s="70" t="s">
        <v>1160</v>
      </c>
    </row>
    <row r="63" spans="1:7" x14ac:dyDescent="0.2">
      <c r="B63" s="70" t="s">
        <v>1162</v>
      </c>
    </row>
    <row r="64" spans="1:7" x14ac:dyDescent="0.2">
      <c r="B64" s="70" t="s">
        <v>1164</v>
      </c>
    </row>
    <row r="65" spans="2:2" x14ac:dyDescent="0.2">
      <c r="B65" s="70" t="s">
        <v>1166</v>
      </c>
    </row>
  </sheetData>
  <mergeCells count="8">
    <mergeCell ref="A3:A13"/>
    <mergeCell ref="A30:A37"/>
    <mergeCell ref="A45:A47"/>
    <mergeCell ref="A48:A51"/>
    <mergeCell ref="A14:A23"/>
    <mergeCell ref="A24:A29"/>
    <mergeCell ref="A38:A41"/>
    <mergeCell ref="A42:A43"/>
  </mergeCells>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103"/>
  <sheetViews>
    <sheetView zoomScaleNormal="100" zoomScalePageLayoutView="85" workbookViewId="0">
      <selection activeCell="G1" sqref="A1:XFD1048576"/>
    </sheetView>
  </sheetViews>
  <sheetFormatPr baseColWidth="10" defaultColWidth="8.83203125" defaultRowHeight="15" x14ac:dyDescent="0.2"/>
  <cols>
    <col min="1" max="1" width="29.83203125" style="19" bestFit="1" customWidth="1"/>
    <col min="2" max="2" width="7.6640625" style="19" bestFit="1" customWidth="1"/>
    <col min="3" max="3" width="33.5" style="19" bestFit="1" customWidth="1"/>
    <col min="4" max="4" width="81" style="19" bestFit="1" customWidth="1"/>
    <col min="5" max="5" width="15" style="19" customWidth="1"/>
    <col min="6" max="6" width="18.5" style="19" bestFit="1" customWidth="1"/>
    <col min="7" max="7" width="71.6640625" style="19" customWidth="1"/>
    <col min="8" max="8" width="36" style="19" bestFit="1" customWidth="1"/>
    <col min="9" max="9" width="30.5" style="19" bestFit="1" customWidth="1"/>
    <col min="10" max="16384" width="8.83203125" style="19"/>
  </cols>
  <sheetData>
    <row r="1" spans="1:10" x14ac:dyDescent="0.2">
      <c r="G1" s="19" t="s">
        <v>1514</v>
      </c>
    </row>
    <row r="2" spans="1:10" x14ac:dyDescent="0.2">
      <c r="A2" s="20" t="s">
        <v>486</v>
      </c>
      <c r="B2" s="26" t="s">
        <v>26</v>
      </c>
      <c r="C2" s="26" t="s">
        <v>597</v>
      </c>
      <c r="D2" s="27" t="s">
        <v>487</v>
      </c>
    </row>
    <row r="3" spans="1:10" x14ac:dyDescent="0.2">
      <c r="A3" s="94" t="str">
        <f>Metric_Definitions!$B$11</f>
        <v>Hazard Magnitude Normalised</v>
      </c>
      <c r="B3" s="28">
        <v>1</v>
      </c>
      <c r="C3" s="29" t="s">
        <v>1078</v>
      </c>
      <c r="D3" s="30"/>
      <c r="F3" s="21" t="s">
        <v>1067</v>
      </c>
      <c r="G3" s="31" t="s">
        <v>1079</v>
      </c>
      <c r="H3" s="31" t="s">
        <v>1081</v>
      </c>
      <c r="I3" s="31" t="s">
        <v>1095</v>
      </c>
      <c r="J3" s="30" t="s">
        <v>1080</v>
      </c>
    </row>
    <row r="4" spans="1:10" x14ac:dyDescent="0.2">
      <c r="A4" s="95"/>
      <c r="B4" s="32">
        <v>2</v>
      </c>
      <c r="C4" s="19" t="s">
        <v>1066</v>
      </c>
      <c r="D4" s="33"/>
      <c r="F4" s="23" t="s">
        <v>917</v>
      </c>
      <c r="G4" s="19" t="s">
        <v>1058</v>
      </c>
      <c r="H4" s="19" t="s">
        <v>1082</v>
      </c>
      <c r="I4" s="19" t="s">
        <v>1078</v>
      </c>
      <c r="J4" s="34">
        <v>1</v>
      </c>
    </row>
    <row r="5" spans="1:10" x14ac:dyDescent="0.2">
      <c r="A5" s="95"/>
      <c r="B5" s="32">
        <v>3</v>
      </c>
      <c r="C5" s="19" t="s">
        <v>1065</v>
      </c>
      <c r="D5" s="33"/>
      <c r="F5" s="23" t="s">
        <v>756</v>
      </c>
      <c r="G5" s="19" t="s">
        <v>1059</v>
      </c>
      <c r="H5" s="19" t="s">
        <v>1083</v>
      </c>
      <c r="I5" s="19" t="s">
        <v>1066</v>
      </c>
      <c r="J5" s="34">
        <v>2</v>
      </c>
    </row>
    <row r="6" spans="1:10" x14ac:dyDescent="0.2">
      <c r="A6" s="95"/>
      <c r="B6" s="32">
        <v>4</v>
      </c>
      <c r="C6" s="19" t="s">
        <v>1064</v>
      </c>
      <c r="D6" s="33"/>
      <c r="F6" s="23" t="s">
        <v>749</v>
      </c>
      <c r="G6" s="19" t="s">
        <v>1060</v>
      </c>
      <c r="H6" s="19" t="s">
        <v>1084</v>
      </c>
      <c r="I6" s="19" t="s">
        <v>1065</v>
      </c>
      <c r="J6" s="34">
        <v>3</v>
      </c>
    </row>
    <row r="7" spans="1:10" x14ac:dyDescent="0.2">
      <c r="A7" s="96"/>
      <c r="B7" s="35">
        <v>5</v>
      </c>
      <c r="C7" s="36" t="s">
        <v>1063</v>
      </c>
      <c r="D7" s="37"/>
      <c r="F7" s="23" t="s">
        <v>753</v>
      </c>
      <c r="G7" s="19" t="s">
        <v>1061</v>
      </c>
      <c r="H7" s="19" t="s">
        <v>1085</v>
      </c>
      <c r="I7" s="19" t="s">
        <v>1064</v>
      </c>
      <c r="J7" s="34">
        <v>4</v>
      </c>
    </row>
    <row r="8" spans="1:10" x14ac:dyDescent="0.2">
      <c r="A8" s="94" t="str">
        <f>Metric_Definitions!$B$13</f>
        <v>Scale</v>
      </c>
      <c r="B8" s="28">
        <v>1</v>
      </c>
      <c r="C8" s="29" t="s">
        <v>1040</v>
      </c>
      <c r="D8" s="30"/>
      <c r="F8" s="23" t="s">
        <v>751</v>
      </c>
      <c r="G8" s="19" t="s">
        <v>1062</v>
      </c>
      <c r="H8" s="19" t="s">
        <v>1086</v>
      </c>
      <c r="I8" s="19" t="s">
        <v>1063</v>
      </c>
      <c r="J8" s="34">
        <v>5</v>
      </c>
    </row>
    <row r="9" spans="1:10" x14ac:dyDescent="0.2">
      <c r="A9" s="95"/>
      <c r="B9" s="32">
        <v>2</v>
      </c>
      <c r="C9" s="19" t="s">
        <v>1041</v>
      </c>
      <c r="D9" s="33"/>
      <c r="F9" s="23"/>
      <c r="J9" s="34"/>
    </row>
    <row r="10" spans="1:10" x14ac:dyDescent="0.2">
      <c r="A10" s="95"/>
      <c r="B10" s="32">
        <v>3</v>
      </c>
      <c r="C10" s="19" t="s">
        <v>516</v>
      </c>
      <c r="D10" s="33"/>
      <c r="F10" s="24" t="s">
        <v>1068</v>
      </c>
      <c r="G10" s="38" t="s">
        <v>1074</v>
      </c>
      <c r="H10" s="38"/>
      <c r="J10" s="34"/>
    </row>
    <row r="11" spans="1:10" x14ac:dyDescent="0.2">
      <c r="A11" s="94" t="str">
        <f>Metric_Definitions!$B$15</f>
        <v>Economy Type</v>
      </c>
      <c r="B11" s="29" t="s">
        <v>612</v>
      </c>
      <c r="C11" s="29" t="s">
        <v>1149</v>
      </c>
      <c r="D11" s="39"/>
      <c r="F11" s="23" t="s">
        <v>1076</v>
      </c>
      <c r="G11" s="19" t="s">
        <v>1078</v>
      </c>
      <c r="I11" s="19" t="s">
        <v>1078</v>
      </c>
      <c r="J11" s="34">
        <v>1</v>
      </c>
    </row>
    <row r="12" spans="1:10" x14ac:dyDescent="0.2">
      <c r="A12" s="95"/>
      <c r="B12" s="19" t="s">
        <v>614</v>
      </c>
      <c r="C12" s="19" t="s">
        <v>1150</v>
      </c>
      <c r="D12" s="34"/>
      <c r="F12" s="23" t="s">
        <v>1075</v>
      </c>
      <c r="G12" s="19" t="s">
        <v>1077</v>
      </c>
      <c r="I12" s="19" t="s">
        <v>1066</v>
      </c>
      <c r="J12" s="34">
        <v>2</v>
      </c>
    </row>
    <row r="13" spans="1:10" x14ac:dyDescent="0.2">
      <c r="A13" s="95"/>
      <c r="B13" s="19" t="s">
        <v>617</v>
      </c>
      <c r="C13" s="19" t="s">
        <v>1151</v>
      </c>
      <c r="D13" s="34"/>
      <c r="F13" s="23" t="s">
        <v>1069</v>
      </c>
      <c r="G13" s="19" t="s">
        <v>1071</v>
      </c>
      <c r="I13" s="19" t="s">
        <v>1065</v>
      </c>
      <c r="J13" s="34">
        <v>3</v>
      </c>
    </row>
    <row r="14" spans="1:10" x14ac:dyDescent="0.2">
      <c r="A14" s="95"/>
      <c r="B14" s="19" t="s">
        <v>821</v>
      </c>
      <c r="C14" s="19" t="s">
        <v>1152</v>
      </c>
      <c r="D14" s="34"/>
      <c r="F14" s="23" t="s">
        <v>1070</v>
      </c>
      <c r="G14" s="19" t="s">
        <v>1072</v>
      </c>
      <c r="I14" s="19" t="s">
        <v>1064</v>
      </c>
      <c r="J14" s="34">
        <v>4</v>
      </c>
    </row>
    <row r="15" spans="1:10" x14ac:dyDescent="0.2">
      <c r="A15" s="95"/>
      <c r="B15" s="19" t="s">
        <v>1146</v>
      </c>
      <c r="C15" s="19" t="s">
        <v>1153</v>
      </c>
      <c r="D15" s="34"/>
      <c r="F15" s="23" t="s">
        <v>1515</v>
      </c>
      <c r="G15" s="19" t="s">
        <v>1073</v>
      </c>
      <c r="I15" s="19" t="s">
        <v>1063</v>
      </c>
      <c r="J15" s="34">
        <v>5</v>
      </c>
    </row>
    <row r="16" spans="1:10" x14ac:dyDescent="0.2">
      <c r="A16" s="95"/>
      <c r="B16" s="19" t="s">
        <v>1147</v>
      </c>
      <c r="C16" s="19" t="s">
        <v>1154</v>
      </c>
      <c r="D16" s="34"/>
      <c r="F16" s="23"/>
      <c r="J16" s="34"/>
    </row>
    <row r="17" spans="1:10" x14ac:dyDescent="0.2">
      <c r="A17" s="96"/>
      <c r="B17" s="36" t="s">
        <v>1148</v>
      </c>
      <c r="C17" s="36" t="s">
        <v>1155</v>
      </c>
      <c r="D17" s="40"/>
      <c r="F17" s="24" t="s">
        <v>1094</v>
      </c>
      <c r="G17" s="19" t="s">
        <v>1111</v>
      </c>
      <c r="J17" s="34"/>
    </row>
    <row r="18" spans="1:10" x14ac:dyDescent="0.2">
      <c r="A18" s="22" t="s">
        <v>1190</v>
      </c>
      <c r="B18" s="29" t="s">
        <v>612</v>
      </c>
      <c r="C18" s="19" t="s">
        <v>1173</v>
      </c>
      <c r="D18" s="34" t="s">
        <v>1174</v>
      </c>
      <c r="F18" s="24" t="s">
        <v>1114</v>
      </c>
      <c r="G18" s="41" t="s">
        <v>1102</v>
      </c>
      <c r="H18" s="41" t="s">
        <v>1094</v>
      </c>
      <c r="J18" s="34"/>
    </row>
    <row r="19" spans="1:10" x14ac:dyDescent="0.2">
      <c r="A19" s="22"/>
      <c r="B19" s="19" t="s">
        <v>614</v>
      </c>
      <c r="C19" s="19" t="s">
        <v>1175</v>
      </c>
      <c r="D19" s="34" t="s">
        <v>1176</v>
      </c>
      <c r="F19" s="23" t="s">
        <v>1098</v>
      </c>
      <c r="G19" s="19" t="s">
        <v>1101</v>
      </c>
      <c r="H19" s="19" t="s">
        <v>1103</v>
      </c>
      <c r="I19" s="19" t="s">
        <v>1078</v>
      </c>
      <c r="J19" s="34">
        <v>1</v>
      </c>
    </row>
    <row r="20" spans="1:10" x14ac:dyDescent="0.2">
      <c r="A20" s="22"/>
      <c r="B20" s="19" t="s">
        <v>617</v>
      </c>
      <c r="C20" s="19" t="s">
        <v>1177</v>
      </c>
      <c r="D20" s="34" t="s">
        <v>1178</v>
      </c>
      <c r="F20" s="23" t="s">
        <v>1109</v>
      </c>
      <c r="G20" s="19" t="s">
        <v>1104</v>
      </c>
      <c r="H20" s="19" t="s">
        <v>1105</v>
      </c>
      <c r="I20" s="19" t="s">
        <v>1066</v>
      </c>
      <c r="J20" s="34">
        <v>2</v>
      </c>
    </row>
    <row r="21" spans="1:10" x14ac:dyDescent="0.2">
      <c r="A21" s="22"/>
      <c r="B21" s="19" t="s">
        <v>821</v>
      </c>
      <c r="C21" s="19" t="s">
        <v>1179</v>
      </c>
      <c r="D21" s="34" t="s">
        <v>1180</v>
      </c>
      <c r="F21" s="23" t="s">
        <v>1099</v>
      </c>
      <c r="G21" s="19" t="s">
        <v>1106</v>
      </c>
      <c r="H21" s="19" t="s">
        <v>1107</v>
      </c>
      <c r="I21" s="19" t="s">
        <v>1065</v>
      </c>
      <c r="J21" s="34">
        <v>3</v>
      </c>
    </row>
    <row r="22" spans="1:10" x14ac:dyDescent="0.2">
      <c r="A22" s="22"/>
      <c r="B22" s="19" t="s">
        <v>1146</v>
      </c>
      <c r="C22" s="19" t="s">
        <v>1181</v>
      </c>
      <c r="D22" s="34" t="s">
        <v>1182</v>
      </c>
      <c r="F22" s="23"/>
      <c r="G22" s="19" t="s">
        <v>1110</v>
      </c>
      <c r="H22" s="19" t="s">
        <v>1113</v>
      </c>
      <c r="I22" s="19" t="s">
        <v>1064</v>
      </c>
      <c r="J22" s="34">
        <v>4</v>
      </c>
    </row>
    <row r="23" spans="1:10" x14ac:dyDescent="0.2">
      <c r="A23" s="22"/>
      <c r="B23" s="19" t="s">
        <v>1147</v>
      </c>
      <c r="C23" s="19" t="s">
        <v>1183</v>
      </c>
      <c r="D23" s="34" t="s">
        <v>1184</v>
      </c>
      <c r="F23" s="25" t="s">
        <v>1100</v>
      </c>
      <c r="G23" s="36" t="s">
        <v>1112</v>
      </c>
      <c r="H23" s="36" t="s">
        <v>1108</v>
      </c>
      <c r="I23" s="36" t="s">
        <v>1063</v>
      </c>
      <c r="J23" s="40">
        <v>5</v>
      </c>
    </row>
    <row r="24" spans="1:10" x14ac:dyDescent="0.2">
      <c r="A24" s="22"/>
      <c r="B24" s="36" t="s">
        <v>1148</v>
      </c>
      <c r="C24" s="19" t="s">
        <v>1185</v>
      </c>
      <c r="D24" s="34" t="s">
        <v>1186</v>
      </c>
    </row>
    <row r="25" spans="1:10" x14ac:dyDescent="0.2">
      <c r="A25" s="94" t="str">
        <f>Metric_Definitions!$B$19</f>
        <v>Income Group</v>
      </c>
      <c r="B25" s="32">
        <v>1</v>
      </c>
      <c r="C25" s="29" t="s">
        <v>32</v>
      </c>
      <c r="D25" s="39"/>
    </row>
    <row r="26" spans="1:10" x14ac:dyDescent="0.2">
      <c r="A26" s="95"/>
      <c r="B26" s="32">
        <v>2</v>
      </c>
      <c r="C26" s="19" t="s">
        <v>51</v>
      </c>
      <c r="D26" s="34"/>
    </row>
    <row r="27" spans="1:10" x14ac:dyDescent="0.2">
      <c r="A27" s="95"/>
      <c r="B27" s="32">
        <v>3</v>
      </c>
      <c r="C27" s="19" t="s">
        <v>37</v>
      </c>
      <c r="D27" s="34"/>
    </row>
    <row r="28" spans="1:10" x14ac:dyDescent="0.2">
      <c r="A28" s="96"/>
      <c r="B28" s="32">
        <v>4</v>
      </c>
      <c r="C28" s="36" t="s">
        <v>47</v>
      </c>
      <c r="D28" s="40"/>
    </row>
    <row r="29" spans="1:10" x14ac:dyDescent="0.2">
      <c r="A29" s="98" t="str">
        <f>Metric_Definitions!$B$27</f>
        <v>Damage Severity</v>
      </c>
      <c r="B29" s="32">
        <v>1</v>
      </c>
      <c r="C29" s="19" t="s">
        <v>19</v>
      </c>
      <c r="D29" s="34" t="s">
        <v>598</v>
      </c>
    </row>
    <row r="30" spans="1:10" x14ac:dyDescent="0.2">
      <c r="A30" s="98"/>
      <c r="B30" s="32">
        <v>2</v>
      </c>
      <c r="C30" s="19" t="s">
        <v>599</v>
      </c>
      <c r="D30" s="34" t="s">
        <v>600</v>
      </c>
    </row>
    <row r="31" spans="1:10" x14ac:dyDescent="0.2">
      <c r="A31" s="98"/>
      <c r="B31" s="32">
        <v>3</v>
      </c>
      <c r="C31" s="19" t="s">
        <v>601</v>
      </c>
      <c r="D31" s="34" t="s">
        <v>602</v>
      </c>
    </row>
    <row r="32" spans="1:10" x14ac:dyDescent="0.2">
      <c r="A32" s="98"/>
      <c r="B32" s="32">
        <v>4</v>
      </c>
      <c r="C32" s="19" t="s">
        <v>1</v>
      </c>
      <c r="D32" s="34" t="s">
        <v>603</v>
      </c>
    </row>
    <row r="33" spans="1:4" x14ac:dyDescent="0.2">
      <c r="A33" s="99"/>
      <c r="B33" s="35">
        <v>5</v>
      </c>
      <c r="C33" s="36" t="s">
        <v>14</v>
      </c>
      <c r="D33" s="40" t="s">
        <v>604</v>
      </c>
    </row>
    <row r="34" spans="1:4" x14ac:dyDescent="0.2">
      <c r="A34" s="97" t="str">
        <f>Metric_Definitions!$B$33</f>
        <v>Self vs external finance</v>
      </c>
      <c r="B34" s="28">
        <v>1</v>
      </c>
      <c r="C34" s="29" t="s">
        <v>18</v>
      </c>
      <c r="D34" s="39" t="s">
        <v>605</v>
      </c>
    </row>
    <row r="35" spans="1:4" x14ac:dyDescent="0.2">
      <c r="A35" s="98"/>
      <c r="B35" s="32">
        <v>2</v>
      </c>
      <c r="C35" s="19" t="s">
        <v>12</v>
      </c>
      <c r="D35" s="34" t="s">
        <v>606</v>
      </c>
    </row>
    <row r="36" spans="1:4" x14ac:dyDescent="0.2">
      <c r="A36" s="98"/>
      <c r="B36" s="32">
        <v>3</v>
      </c>
      <c r="C36" s="19" t="s">
        <v>20</v>
      </c>
      <c r="D36" s="34" t="s">
        <v>607</v>
      </c>
    </row>
    <row r="37" spans="1:4" x14ac:dyDescent="0.2">
      <c r="A37" s="98"/>
      <c r="B37" s="32">
        <v>4</v>
      </c>
      <c r="C37" s="19" t="s">
        <v>2</v>
      </c>
      <c r="D37" s="34" t="s">
        <v>608</v>
      </c>
    </row>
    <row r="38" spans="1:4" x14ac:dyDescent="0.2">
      <c r="A38" s="99"/>
      <c r="B38" s="35">
        <v>5</v>
      </c>
      <c r="C38" s="19" t="s">
        <v>15</v>
      </c>
      <c r="D38" s="40" t="s">
        <v>609</v>
      </c>
    </row>
    <row r="39" spans="1:4" x14ac:dyDescent="0.2">
      <c r="A39" s="97" t="str">
        <f>Metric_Definitions!$B$37</f>
        <v>Speed of funding</v>
      </c>
      <c r="B39" s="28">
        <v>1</v>
      </c>
      <c r="C39" s="29" t="s">
        <v>1055</v>
      </c>
      <c r="D39" s="39"/>
    </row>
    <row r="40" spans="1:4" x14ac:dyDescent="0.2">
      <c r="A40" s="98"/>
      <c r="B40" s="32">
        <v>2</v>
      </c>
      <c r="C40" s="19" t="s">
        <v>3</v>
      </c>
      <c r="D40" s="34"/>
    </row>
    <row r="41" spans="1:4" x14ac:dyDescent="0.2">
      <c r="A41" s="98"/>
      <c r="B41" s="32">
        <v>3</v>
      </c>
      <c r="C41" s="19" t="s">
        <v>23</v>
      </c>
      <c r="D41" s="34"/>
    </row>
    <row r="42" spans="1:4" x14ac:dyDescent="0.2">
      <c r="A42" s="98"/>
      <c r="B42" s="32">
        <v>4</v>
      </c>
      <c r="C42" s="19" t="s">
        <v>610</v>
      </c>
      <c r="D42" s="34"/>
    </row>
    <row r="43" spans="1:4" x14ac:dyDescent="0.2">
      <c r="A43" s="98"/>
      <c r="B43" s="32">
        <v>5</v>
      </c>
      <c r="C43" s="19" t="s">
        <v>13</v>
      </c>
      <c r="D43" s="34"/>
    </row>
    <row r="44" spans="1:4" x14ac:dyDescent="0.2">
      <c r="A44" s="99"/>
      <c r="B44" s="35">
        <v>6</v>
      </c>
      <c r="C44" s="36" t="s">
        <v>16</v>
      </c>
      <c r="D44" s="40"/>
    </row>
    <row r="45" spans="1:4" x14ac:dyDescent="0.2">
      <c r="A45" s="97" t="str">
        <f>Metric_Definitions!$B$38</f>
        <v>Adequacy funding</v>
      </c>
      <c r="B45" s="28">
        <v>1</v>
      </c>
      <c r="C45" s="19" t="s">
        <v>24</v>
      </c>
      <c r="D45" s="39"/>
    </row>
    <row r="46" spans="1:4" x14ac:dyDescent="0.2">
      <c r="A46" s="98"/>
      <c r="B46" s="32">
        <v>2</v>
      </c>
      <c r="C46" s="19" t="s">
        <v>4</v>
      </c>
      <c r="D46" s="34"/>
    </row>
    <row r="47" spans="1:4" x14ac:dyDescent="0.2">
      <c r="A47" s="98"/>
      <c r="B47" s="32">
        <v>3</v>
      </c>
      <c r="C47" s="19" t="s">
        <v>8</v>
      </c>
      <c r="D47" s="34"/>
    </row>
    <row r="48" spans="1:4" x14ac:dyDescent="0.2">
      <c r="A48" s="98"/>
      <c r="B48" s="32">
        <v>4</v>
      </c>
      <c r="C48" s="19" t="s">
        <v>611</v>
      </c>
      <c r="D48" s="34"/>
    </row>
    <row r="49" spans="1:4" x14ac:dyDescent="0.2">
      <c r="A49" s="99"/>
      <c r="B49" s="35">
        <v>5</v>
      </c>
      <c r="C49" s="36" t="s">
        <v>25</v>
      </c>
      <c r="D49" s="40"/>
    </row>
    <row r="50" spans="1:4" x14ac:dyDescent="0.2">
      <c r="A50" s="94" t="str">
        <f>Metric_Definitions!$B$39</f>
        <v>Role of Insurance</v>
      </c>
      <c r="B50" s="32">
        <v>1</v>
      </c>
      <c r="C50" s="19" t="s">
        <v>1052</v>
      </c>
      <c r="D50" s="34"/>
    </row>
    <row r="51" spans="1:4" x14ac:dyDescent="0.2">
      <c r="A51" s="95"/>
      <c r="B51" s="32">
        <v>2</v>
      </c>
      <c r="C51" s="19" t="s">
        <v>600</v>
      </c>
      <c r="D51" s="34"/>
    </row>
    <row r="52" spans="1:4" x14ac:dyDescent="0.2">
      <c r="A52" s="95"/>
      <c r="B52" s="32">
        <v>3</v>
      </c>
      <c r="C52" s="19" t="s">
        <v>631</v>
      </c>
      <c r="D52" s="34"/>
    </row>
    <row r="53" spans="1:4" x14ac:dyDescent="0.2">
      <c r="A53" s="94" t="s">
        <v>829</v>
      </c>
      <c r="B53" s="28">
        <v>1</v>
      </c>
      <c r="C53" s="29" t="s">
        <v>831</v>
      </c>
      <c r="D53" s="39"/>
    </row>
    <row r="54" spans="1:4" x14ac:dyDescent="0.2">
      <c r="A54" s="95"/>
      <c r="B54" s="32">
        <v>2</v>
      </c>
      <c r="C54" s="19" t="s">
        <v>834</v>
      </c>
      <c r="D54" s="34"/>
    </row>
    <row r="55" spans="1:4" x14ac:dyDescent="0.2">
      <c r="A55" s="95"/>
      <c r="B55" s="32">
        <v>3</v>
      </c>
      <c r="C55" s="19" t="s">
        <v>832</v>
      </c>
      <c r="D55" s="34"/>
    </row>
    <row r="56" spans="1:4" x14ac:dyDescent="0.2">
      <c r="A56" s="96"/>
      <c r="B56" s="35">
        <v>4</v>
      </c>
      <c r="C56" s="36" t="s">
        <v>835</v>
      </c>
      <c r="D56" s="40"/>
    </row>
    <row r="57" spans="1:4" x14ac:dyDescent="0.2">
      <c r="A57" s="97" t="str">
        <f>Metric_Definitions!$B$42</f>
        <v>Disaster Management Authority</v>
      </c>
      <c r="B57" s="28" t="s">
        <v>612</v>
      </c>
      <c r="C57" s="29" t="s">
        <v>5</v>
      </c>
      <c r="D57" s="39" t="s">
        <v>613</v>
      </c>
    </row>
    <row r="58" spans="1:4" x14ac:dyDescent="0.2">
      <c r="A58" s="98"/>
      <c r="B58" s="32" t="s">
        <v>614</v>
      </c>
      <c r="C58" s="19" t="s">
        <v>615</v>
      </c>
      <c r="D58" s="34" t="s">
        <v>616</v>
      </c>
    </row>
    <row r="59" spans="1:4" x14ac:dyDescent="0.2">
      <c r="A59" s="98"/>
      <c r="B59" s="32" t="s">
        <v>617</v>
      </c>
      <c r="C59" s="19" t="s">
        <v>17</v>
      </c>
      <c r="D59" s="34" t="s">
        <v>618</v>
      </c>
    </row>
    <row r="60" spans="1:4" x14ac:dyDescent="0.2">
      <c r="A60" s="98"/>
      <c r="B60" s="32" t="s">
        <v>821</v>
      </c>
      <c r="C60" s="19" t="s">
        <v>625</v>
      </c>
      <c r="D60" s="34"/>
    </row>
    <row r="61" spans="1:4" x14ac:dyDescent="0.2">
      <c r="A61" s="94" t="str">
        <f>Metric_Definitions!$B$43</f>
        <v>Preparedness</v>
      </c>
      <c r="B61" s="28">
        <v>1</v>
      </c>
      <c r="C61" s="29" t="s">
        <v>1140</v>
      </c>
      <c r="D61" s="39"/>
    </row>
    <row r="62" spans="1:4" x14ac:dyDescent="0.2">
      <c r="A62" s="95"/>
      <c r="B62" s="32">
        <v>2</v>
      </c>
      <c r="C62" s="19" t="s">
        <v>1141</v>
      </c>
      <c r="D62" s="34"/>
    </row>
    <row r="63" spans="1:4" x14ac:dyDescent="0.2">
      <c r="A63" s="95"/>
      <c r="B63" s="32">
        <v>3</v>
      </c>
      <c r="C63" s="19" t="s">
        <v>1142</v>
      </c>
      <c r="D63" s="34"/>
    </row>
    <row r="64" spans="1:4" x14ac:dyDescent="0.2">
      <c r="A64" s="95"/>
      <c r="B64" s="32">
        <v>4</v>
      </c>
      <c r="C64" s="19" t="s">
        <v>1143</v>
      </c>
      <c r="D64" s="34"/>
    </row>
    <row r="65" spans="1:4" x14ac:dyDescent="0.2">
      <c r="A65" s="96"/>
      <c r="B65" s="35">
        <v>5</v>
      </c>
      <c r="C65" s="19" t="s">
        <v>1144</v>
      </c>
      <c r="D65" s="40"/>
    </row>
    <row r="66" spans="1:4" x14ac:dyDescent="0.2">
      <c r="A66" s="94" t="str">
        <f>Metric_Definitions!$B$44</f>
        <v>Public Participation</v>
      </c>
      <c r="B66" s="32">
        <v>1</v>
      </c>
      <c r="C66" s="29" t="s">
        <v>6</v>
      </c>
      <c r="D66" s="39" t="s">
        <v>619</v>
      </c>
    </row>
    <row r="67" spans="1:4" x14ac:dyDescent="0.2">
      <c r="A67" s="95"/>
      <c r="B67" s="32">
        <v>2</v>
      </c>
      <c r="C67" s="19" t="s">
        <v>9</v>
      </c>
      <c r="D67" s="34" t="s">
        <v>9</v>
      </c>
    </row>
    <row r="68" spans="1:4" x14ac:dyDescent="0.2">
      <c r="A68" s="96"/>
      <c r="B68" s="35">
        <v>3</v>
      </c>
      <c r="C68" s="36" t="s">
        <v>620</v>
      </c>
      <c r="D68" s="40" t="s">
        <v>621</v>
      </c>
    </row>
    <row r="69" spans="1:4" x14ac:dyDescent="0.2">
      <c r="A69" s="97" t="str">
        <f>Metric_Definitions!$B$45</f>
        <v>Decision Making</v>
      </c>
      <c r="B69" s="28">
        <v>1</v>
      </c>
      <c r="C69" s="29" t="s">
        <v>622</v>
      </c>
      <c r="D69" s="39"/>
    </row>
    <row r="70" spans="1:4" x14ac:dyDescent="0.2">
      <c r="A70" s="98"/>
      <c r="B70" s="32">
        <v>2</v>
      </c>
      <c r="C70" s="19" t="s">
        <v>623</v>
      </c>
      <c r="D70" s="34"/>
    </row>
    <row r="71" spans="1:4" x14ac:dyDescent="0.2">
      <c r="A71" s="99"/>
      <c r="B71" s="35">
        <v>3</v>
      </c>
      <c r="C71" s="36" t="s">
        <v>624</v>
      </c>
      <c r="D71" s="40"/>
    </row>
    <row r="72" spans="1:4" x14ac:dyDescent="0.2">
      <c r="A72" s="97" t="str">
        <f>Metric_Definitions!$B$46</f>
        <v>Experience</v>
      </c>
      <c r="B72" s="28">
        <v>1</v>
      </c>
      <c r="C72" s="29" t="s">
        <v>625</v>
      </c>
      <c r="D72" s="39" t="s">
        <v>626</v>
      </c>
    </row>
    <row r="73" spans="1:4" x14ac:dyDescent="0.2">
      <c r="A73" s="98"/>
      <c r="B73" s="32">
        <v>2</v>
      </c>
      <c r="C73" s="19" t="s">
        <v>627</v>
      </c>
      <c r="D73" s="34" t="s">
        <v>628</v>
      </c>
    </row>
    <row r="74" spans="1:4" x14ac:dyDescent="0.2">
      <c r="A74" s="98"/>
      <c r="B74" s="32">
        <v>3</v>
      </c>
      <c r="C74" s="19" t="s">
        <v>846</v>
      </c>
      <c r="D74" s="34" t="s">
        <v>847</v>
      </c>
    </row>
    <row r="75" spans="1:4" x14ac:dyDescent="0.2">
      <c r="A75" s="98"/>
      <c r="B75" s="32">
        <v>4</v>
      </c>
      <c r="C75" s="19" t="s">
        <v>629</v>
      </c>
      <c r="D75" s="34" t="s">
        <v>630</v>
      </c>
    </row>
    <row r="76" spans="1:4" x14ac:dyDescent="0.2">
      <c r="A76" s="99"/>
      <c r="B76" s="32">
        <v>5</v>
      </c>
      <c r="C76" s="36" t="s">
        <v>631</v>
      </c>
      <c r="D76" s="40" t="s">
        <v>632</v>
      </c>
    </row>
    <row r="77" spans="1:4" x14ac:dyDescent="0.2">
      <c r="A77" s="94" t="s">
        <v>844</v>
      </c>
      <c r="B77" s="28">
        <v>1</v>
      </c>
      <c r="C77" s="19" t="s">
        <v>1022</v>
      </c>
      <c r="D77" s="34"/>
    </row>
    <row r="78" spans="1:4" x14ac:dyDescent="0.2">
      <c r="A78" s="95"/>
      <c r="B78" s="32">
        <v>2</v>
      </c>
      <c r="C78" s="19" t="s">
        <v>1023</v>
      </c>
      <c r="D78" s="34"/>
    </row>
    <row r="79" spans="1:4" x14ac:dyDescent="0.2">
      <c r="A79" s="95"/>
      <c r="B79" s="32">
        <v>3</v>
      </c>
      <c r="C79" s="19" t="s">
        <v>1030</v>
      </c>
      <c r="D79" s="34"/>
    </row>
    <row r="80" spans="1:4" x14ac:dyDescent="0.2">
      <c r="A80" s="95"/>
      <c r="B80" s="32">
        <v>4</v>
      </c>
      <c r="C80" s="19" t="s">
        <v>1025</v>
      </c>
      <c r="D80" s="34"/>
    </row>
    <row r="81" spans="1:4" x14ac:dyDescent="0.2">
      <c r="A81" s="96"/>
      <c r="B81" s="32">
        <v>5</v>
      </c>
      <c r="C81" s="19" t="s">
        <v>1024</v>
      </c>
      <c r="D81" s="34"/>
    </row>
    <row r="82" spans="1:4" x14ac:dyDescent="0.2">
      <c r="A82" s="97" t="s">
        <v>1511</v>
      </c>
      <c r="B82" s="28">
        <v>1</v>
      </c>
      <c r="C82" s="29" t="s">
        <v>633</v>
      </c>
      <c r="D82" s="39"/>
    </row>
    <row r="83" spans="1:4" x14ac:dyDescent="0.2">
      <c r="A83" s="98"/>
      <c r="B83" s="32">
        <v>2</v>
      </c>
      <c r="C83" s="19" t="s">
        <v>967</v>
      </c>
      <c r="D83" s="34"/>
    </row>
    <row r="84" spans="1:4" x14ac:dyDescent="0.2">
      <c r="A84" s="98"/>
      <c r="B84" s="32">
        <v>3</v>
      </c>
      <c r="C84" s="19" t="s">
        <v>815</v>
      </c>
      <c r="D84" s="34"/>
    </row>
    <row r="85" spans="1:4" x14ac:dyDescent="0.2">
      <c r="A85" s="98"/>
      <c r="B85" s="32">
        <v>4</v>
      </c>
      <c r="C85" s="19" t="s">
        <v>816</v>
      </c>
      <c r="D85" s="34"/>
    </row>
    <row r="86" spans="1:4" x14ac:dyDescent="0.2">
      <c r="A86" s="98"/>
      <c r="B86" s="32">
        <v>5</v>
      </c>
      <c r="C86" s="19" t="s">
        <v>10</v>
      </c>
      <c r="D86" s="34"/>
    </row>
    <row r="87" spans="1:4" x14ac:dyDescent="0.2">
      <c r="A87" s="98"/>
      <c r="B87" s="32">
        <v>6</v>
      </c>
      <c r="C87" s="19" t="s">
        <v>22</v>
      </c>
      <c r="D87" s="34"/>
    </row>
    <row r="88" spans="1:4" x14ac:dyDescent="0.2">
      <c r="A88" s="98"/>
      <c r="B88" s="32">
        <v>7</v>
      </c>
      <c r="C88" s="19" t="s">
        <v>845</v>
      </c>
      <c r="D88" s="34"/>
    </row>
    <row r="89" spans="1:4" x14ac:dyDescent="0.2">
      <c r="A89" s="98"/>
      <c r="B89" s="32">
        <v>8</v>
      </c>
      <c r="C89" s="19" t="s">
        <v>13</v>
      </c>
      <c r="D89" s="34"/>
    </row>
    <row r="90" spans="1:4" x14ac:dyDescent="0.2">
      <c r="A90" s="98"/>
      <c r="B90" s="32">
        <v>9</v>
      </c>
      <c r="C90" s="36" t="s">
        <v>21</v>
      </c>
      <c r="D90" s="34"/>
    </row>
    <row r="91" spans="1:4" x14ac:dyDescent="0.2">
      <c r="A91" s="97" t="s">
        <v>1512</v>
      </c>
      <c r="B91" s="28">
        <v>1</v>
      </c>
      <c r="C91" s="29" t="s">
        <v>634</v>
      </c>
      <c r="D91" s="28">
        <v>1</v>
      </c>
    </row>
    <row r="92" spans="1:4" x14ac:dyDescent="0.2">
      <c r="A92" s="98"/>
      <c r="B92" s="32">
        <v>2</v>
      </c>
      <c r="C92" s="19" t="s">
        <v>635</v>
      </c>
      <c r="D92" s="32">
        <v>2</v>
      </c>
    </row>
    <row r="93" spans="1:4" x14ac:dyDescent="0.2">
      <c r="A93" s="98"/>
      <c r="B93" s="32">
        <v>3</v>
      </c>
      <c r="C93" s="19" t="s">
        <v>7</v>
      </c>
      <c r="D93" s="32">
        <v>3</v>
      </c>
    </row>
    <row r="94" spans="1:4" x14ac:dyDescent="0.2">
      <c r="A94" s="98"/>
      <c r="B94" s="32">
        <v>4</v>
      </c>
      <c r="C94" s="19" t="s">
        <v>11</v>
      </c>
      <c r="D94" s="32">
        <v>4</v>
      </c>
    </row>
    <row r="95" spans="1:4" x14ac:dyDescent="0.2">
      <c r="A95" s="99"/>
      <c r="B95" s="35">
        <v>5</v>
      </c>
      <c r="C95" s="36" t="s">
        <v>636</v>
      </c>
      <c r="D95" s="35">
        <v>5</v>
      </c>
    </row>
    <row r="96" spans="1:4" x14ac:dyDescent="0.2">
      <c r="A96" s="97" t="s">
        <v>1513</v>
      </c>
      <c r="B96" s="28">
        <v>1</v>
      </c>
      <c r="C96" s="29" t="s">
        <v>32</v>
      </c>
      <c r="D96" s="39" t="s">
        <v>883</v>
      </c>
    </row>
    <row r="97" spans="1:4" x14ac:dyDescent="0.2">
      <c r="A97" s="98"/>
      <c r="B97" s="32">
        <v>2</v>
      </c>
      <c r="C97" s="19" t="s">
        <v>814</v>
      </c>
      <c r="D97" s="34" t="s">
        <v>882</v>
      </c>
    </row>
    <row r="98" spans="1:4" x14ac:dyDescent="0.2">
      <c r="A98" s="98"/>
      <c r="B98" s="32">
        <v>3</v>
      </c>
      <c r="C98" s="19" t="s">
        <v>47</v>
      </c>
      <c r="D98" s="34" t="s">
        <v>881</v>
      </c>
    </row>
    <row r="99" spans="1:4" x14ac:dyDescent="0.2">
      <c r="A99" s="94" t="s">
        <v>1035</v>
      </c>
      <c r="B99" s="28">
        <v>1</v>
      </c>
      <c r="C99" s="29" t="s">
        <v>1037</v>
      </c>
      <c r="D99" s="39"/>
    </row>
    <row r="100" spans="1:4" x14ac:dyDescent="0.2">
      <c r="A100" s="95"/>
      <c r="B100" s="32">
        <v>2</v>
      </c>
      <c r="C100" s="19" t="s">
        <v>1051</v>
      </c>
      <c r="D100" s="34"/>
    </row>
    <row r="101" spans="1:4" x14ac:dyDescent="0.2">
      <c r="A101" s="95"/>
      <c r="B101" s="32">
        <v>3</v>
      </c>
      <c r="C101" s="19" t="s">
        <v>600</v>
      </c>
      <c r="D101" s="34"/>
    </row>
    <row r="102" spans="1:4" x14ac:dyDescent="0.2">
      <c r="A102" s="95"/>
      <c r="B102" s="32">
        <v>4</v>
      </c>
      <c r="C102" s="19" t="s">
        <v>1050</v>
      </c>
      <c r="D102" s="34"/>
    </row>
    <row r="103" spans="1:4" x14ac:dyDescent="0.2">
      <c r="A103" s="96"/>
      <c r="B103" s="35">
        <v>5</v>
      </c>
      <c r="C103" s="36" t="s">
        <v>1054</v>
      </c>
      <c r="D103" s="40"/>
    </row>
  </sheetData>
  <dataConsolidate/>
  <mergeCells count="20">
    <mergeCell ref="A3:A7"/>
    <mergeCell ref="A50:A52"/>
    <mergeCell ref="A77:A81"/>
    <mergeCell ref="A29:A33"/>
    <mergeCell ref="A34:A38"/>
    <mergeCell ref="A39:A44"/>
    <mergeCell ref="A45:A49"/>
    <mergeCell ref="A11:A17"/>
    <mergeCell ref="A25:A28"/>
    <mergeCell ref="A53:A56"/>
    <mergeCell ref="A57:A60"/>
    <mergeCell ref="A66:A68"/>
    <mergeCell ref="A69:A71"/>
    <mergeCell ref="A72:A76"/>
    <mergeCell ref="A8:A10"/>
    <mergeCell ref="A99:A103"/>
    <mergeCell ref="A61:A65"/>
    <mergeCell ref="A82:A90"/>
    <mergeCell ref="A91:A95"/>
    <mergeCell ref="A96:A98"/>
  </mergeCells>
  <phoneticPr fontId="7" type="noConversion"/>
  <hyperlinks>
    <hyperlink ref="G10" r:id="rId1" xr:uid="{00000000-0004-0000-1A00-000000000000}"/>
  </hyperlinks>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Y220"/>
  <sheetViews>
    <sheetView tabSelected="1" zoomScale="79" zoomScaleNormal="79" zoomScalePageLayoutView="150" workbookViewId="0">
      <selection activeCell="P6" sqref="P6"/>
    </sheetView>
  </sheetViews>
  <sheetFormatPr baseColWidth="10" defaultColWidth="8.83203125" defaultRowHeight="15" x14ac:dyDescent="0.2"/>
  <cols>
    <col min="1" max="1" width="20.83203125" customWidth="1"/>
    <col min="2" max="2" width="5.5" bestFit="1" customWidth="1"/>
    <col min="3" max="3" width="24.6640625" bestFit="1" customWidth="1"/>
    <col min="4" max="4" width="13.33203125" bestFit="1" customWidth="1"/>
    <col min="5" max="5" width="25.1640625" style="110" customWidth="1"/>
    <col min="6" max="9" width="25.1640625" customWidth="1"/>
    <col min="10" max="15" width="8.6640625" customWidth="1"/>
    <col min="16" max="16" width="20.83203125" style="105" bestFit="1" customWidth="1"/>
    <col min="17" max="17" width="28" style="1" customWidth="1"/>
    <col min="18" max="18" width="14.6640625" customWidth="1"/>
    <col min="20" max="20" width="22" bestFit="1" customWidth="1"/>
    <col min="21" max="21" width="7.6640625" bestFit="1" customWidth="1"/>
  </cols>
  <sheetData>
    <row r="1" spans="1:25" s="1" customFormat="1" x14ac:dyDescent="0.2">
      <c r="A1" s="6" t="s">
        <v>1567</v>
      </c>
      <c r="E1" s="107" t="s">
        <v>1533</v>
      </c>
      <c r="F1" s="104" t="s">
        <v>1535</v>
      </c>
      <c r="J1" s="44" t="s">
        <v>1370</v>
      </c>
      <c r="K1" s="45"/>
      <c r="L1" s="45"/>
      <c r="M1" s="45"/>
      <c r="N1" s="45"/>
      <c r="O1" s="45"/>
      <c r="P1" s="111"/>
      <c r="S1"/>
      <c r="T1" s="105"/>
      <c r="U1" s="105"/>
      <c r="V1" s="105"/>
      <c r="W1" s="105"/>
      <c r="X1" s="105"/>
      <c r="Y1" s="105"/>
    </row>
    <row r="2" spans="1:25" s="1" customFormat="1" x14ac:dyDescent="0.2">
      <c r="A2" s="42" t="s">
        <v>496</v>
      </c>
      <c r="B2" s="42" t="s">
        <v>26</v>
      </c>
      <c r="C2" s="42" t="s">
        <v>27</v>
      </c>
      <c r="D2" s="42" t="s">
        <v>28</v>
      </c>
      <c r="E2" s="108" t="s">
        <v>496</v>
      </c>
      <c r="F2" s="103" t="s">
        <v>1171</v>
      </c>
      <c r="G2" s="103" t="s">
        <v>1536</v>
      </c>
      <c r="H2" s="103" t="s">
        <v>1537</v>
      </c>
      <c r="I2" s="101" t="s">
        <v>1372</v>
      </c>
      <c r="J2" s="43" t="s">
        <v>822</v>
      </c>
      <c r="K2" s="42" t="s">
        <v>823</v>
      </c>
      <c r="L2" s="42" t="s">
        <v>824</v>
      </c>
      <c r="M2" s="42" t="s">
        <v>825</v>
      </c>
      <c r="N2" s="42" t="s">
        <v>826</v>
      </c>
      <c r="O2" s="42" t="s">
        <v>827</v>
      </c>
      <c r="P2" s="112" t="s">
        <v>828</v>
      </c>
      <c r="Q2" s="42" t="s">
        <v>1534</v>
      </c>
      <c r="R2" s="74" t="s">
        <v>1191</v>
      </c>
      <c r="S2"/>
      <c r="T2" s="72" t="s">
        <v>498</v>
      </c>
      <c r="U2" s="71" t="s">
        <v>1533</v>
      </c>
      <c r="V2"/>
      <c r="W2"/>
      <c r="X2"/>
      <c r="Y2"/>
    </row>
    <row r="3" spans="1:25" x14ac:dyDescent="0.2">
      <c r="A3" t="s">
        <v>29</v>
      </c>
      <c r="B3" t="s">
        <v>30</v>
      </c>
      <c r="C3" t="s">
        <v>31</v>
      </c>
      <c r="D3" t="s">
        <v>32</v>
      </c>
      <c r="E3" s="109" t="s">
        <v>29</v>
      </c>
      <c r="F3" s="102">
        <v>2.7E-2</v>
      </c>
      <c r="G3" s="102">
        <v>0.28199999999999997</v>
      </c>
      <c r="H3" s="102">
        <v>0.64800000000000002</v>
      </c>
      <c r="I3" t="s">
        <v>1172</v>
      </c>
      <c r="J3" s="3">
        <v>2.97</v>
      </c>
      <c r="K3">
        <v>2.92</v>
      </c>
      <c r="L3">
        <v>1.1399999999999999</v>
      </c>
      <c r="M3">
        <v>4.4400000000000004</v>
      </c>
      <c r="N3">
        <v>2.5</v>
      </c>
      <c r="O3">
        <v>3.82</v>
      </c>
      <c r="P3" s="113" t="s">
        <v>831</v>
      </c>
      <c r="R3" s="10"/>
      <c r="T3" s="71" t="s">
        <v>1535</v>
      </c>
    </row>
    <row r="4" spans="1:25" x14ac:dyDescent="0.2">
      <c r="A4" t="s">
        <v>34</v>
      </c>
      <c r="B4" t="s">
        <v>35</v>
      </c>
      <c r="C4" t="s">
        <v>36</v>
      </c>
      <c r="D4" t="s">
        <v>37</v>
      </c>
      <c r="E4" s="109" t="s">
        <v>34</v>
      </c>
      <c r="F4" s="102">
        <v>0.17899999999999999</v>
      </c>
      <c r="G4" s="102">
        <v>0.27700000000000002</v>
      </c>
      <c r="H4" s="100">
        <v>0.63</v>
      </c>
      <c r="I4" t="s">
        <v>1185</v>
      </c>
      <c r="J4" s="3">
        <v>5.98</v>
      </c>
      <c r="K4">
        <v>7</v>
      </c>
      <c r="L4">
        <v>4.71</v>
      </c>
      <c r="M4">
        <v>5.56</v>
      </c>
      <c r="N4">
        <v>5</v>
      </c>
      <c r="O4">
        <v>7.65</v>
      </c>
      <c r="P4" s="113" t="s">
        <v>832</v>
      </c>
      <c r="Q4" s="106" t="s">
        <v>1192</v>
      </c>
      <c r="R4" s="11">
        <v>66.5</v>
      </c>
      <c r="T4" s="71"/>
    </row>
    <row r="5" spans="1:25" x14ac:dyDescent="0.2">
      <c r="A5" t="s">
        <v>38</v>
      </c>
      <c r="B5" t="s">
        <v>39</v>
      </c>
      <c r="C5" t="s">
        <v>40</v>
      </c>
      <c r="D5" t="s">
        <v>37</v>
      </c>
      <c r="E5" s="109" t="s">
        <v>38</v>
      </c>
      <c r="F5" s="102">
        <v>6.6000000000000003E-2</v>
      </c>
      <c r="G5" s="102">
        <v>0.20699999999999999</v>
      </c>
      <c r="H5" s="102">
        <v>0.56799999999999995</v>
      </c>
      <c r="I5" s="10" t="s">
        <v>1185</v>
      </c>
      <c r="J5" s="3">
        <v>3.5</v>
      </c>
      <c r="K5">
        <v>2.58</v>
      </c>
      <c r="L5">
        <v>2.21</v>
      </c>
      <c r="M5">
        <v>3.89</v>
      </c>
      <c r="N5">
        <v>5</v>
      </c>
      <c r="O5">
        <v>3.82</v>
      </c>
      <c r="P5" s="113" t="s">
        <v>831</v>
      </c>
      <c r="Q5" s="106" t="s">
        <v>1193</v>
      </c>
      <c r="R5" s="11">
        <v>46.2</v>
      </c>
      <c r="T5" s="73" t="s">
        <v>1568</v>
      </c>
    </row>
    <row r="6" spans="1:25" x14ac:dyDescent="0.2">
      <c r="A6" t="s">
        <v>42</v>
      </c>
      <c r="B6" t="s">
        <v>43</v>
      </c>
      <c r="C6" t="s">
        <v>44</v>
      </c>
      <c r="D6" t="s">
        <v>37</v>
      </c>
      <c r="E6" s="109" t="s">
        <v>42</v>
      </c>
      <c r="F6" s="102">
        <v>6.5000000000000002E-2</v>
      </c>
      <c r="G6" s="102">
        <v>0.45</v>
      </c>
      <c r="H6" s="102">
        <v>0.86</v>
      </c>
      <c r="I6" t="s">
        <v>1173</v>
      </c>
      <c r="J6" s="3" t="s">
        <v>33</v>
      </c>
      <c r="K6" t="s">
        <v>33</v>
      </c>
      <c r="L6" t="s">
        <v>33</v>
      </c>
      <c r="M6" t="s">
        <v>33</v>
      </c>
      <c r="N6" t="s">
        <v>33</v>
      </c>
      <c r="O6" t="s">
        <v>33</v>
      </c>
      <c r="P6" t="s">
        <v>833</v>
      </c>
      <c r="Q6" s="106" t="s">
        <v>1194</v>
      </c>
      <c r="R6" s="11">
        <v>50.6</v>
      </c>
      <c r="T6" t="s">
        <v>1173</v>
      </c>
      <c r="U6" t="s">
        <v>1174</v>
      </c>
    </row>
    <row r="7" spans="1:25" x14ac:dyDescent="0.2">
      <c r="A7" t="s">
        <v>45</v>
      </c>
      <c r="B7" t="s">
        <v>46</v>
      </c>
      <c r="C7" t="s">
        <v>36</v>
      </c>
      <c r="D7" t="s">
        <v>47</v>
      </c>
      <c r="E7" s="109" t="s">
        <v>45</v>
      </c>
      <c r="F7" s="102">
        <v>0.27300000000000002</v>
      </c>
      <c r="G7" s="102">
        <v>0.11799999999999999</v>
      </c>
      <c r="H7" s="102">
        <v>0.43</v>
      </c>
      <c r="I7" t="s">
        <v>1154</v>
      </c>
      <c r="J7" s="3" t="s">
        <v>33</v>
      </c>
      <c r="K7" t="s">
        <v>33</v>
      </c>
      <c r="L7" t="s">
        <v>33</v>
      </c>
      <c r="M7" t="s">
        <v>33</v>
      </c>
      <c r="N7" t="s">
        <v>33</v>
      </c>
      <c r="O7" t="s">
        <v>33</v>
      </c>
      <c r="P7" s="113" t="s">
        <v>833</v>
      </c>
      <c r="R7" s="11"/>
      <c r="T7" t="s">
        <v>1175</v>
      </c>
      <c r="U7" t="s">
        <v>1176</v>
      </c>
    </row>
    <row r="8" spans="1:25" x14ac:dyDescent="0.2">
      <c r="A8" t="s">
        <v>48</v>
      </c>
      <c r="B8" t="s">
        <v>49</v>
      </c>
      <c r="C8" t="s">
        <v>50</v>
      </c>
      <c r="D8" t="s">
        <v>51</v>
      </c>
      <c r="E8" s="109" t="s">
        <v>48</v>
      </c>
      <c r="F8" s="102">
        <v>0.245</v>
      </c>
      <c r="G8" s="102">
        <v>5.6000000000000001E-2</v>
      </c>
      <c r="H8" s="102">
        <v>0.32900000000000001</v>
      </c>
      <c r="I8" t="s">
        <v>1171</v>
      </c>
      <c r="J8" s="3">
        <v>3.62</v>
      </c>
      <c r="K8">
        <v>1.75</v>
      </c>
      <c r="L8">
        <v>2.86</v>
      </c>
      <c r="M8">
        <v>5.56</v>
      </c>
      <c r="N8">
        <v>5</v>
      </c>
      <c r="O8">
        <v>2.94</v>
      </c>
      <c r="P8" s="113" t="s">
        <v>831</v>
      </c>
      <c r="R8" s="11"/>
      <c r="T8" t="s">
        <v>1177</v>
      </c>
      <c r="U8" t="s">
        <v>1178</v>
      </c>
    </row>
    <row r="9" spans="1:25" x14ac:dyDescent="0.2">
      <c r="A9" t="s">
        <v>52</v>
      </c>
      <c r="B9" t="s">
        <v>53</v>
      </c>
      <c r="C9" t="s">
        <v>54</v>
      </c>
      <c r="D9" t="s">
        <v>47</v>
      </c>
      <c r="E9" s="109" t="s">
        <v>1538</v>
      </c>
      <c r="F9" s="102">
        <v>3.5999999999999997E-2</v>
      </c>
      <c r="G9" s="102">
        <v>0.253</v>
      </c>
      <c r="H9" s="102">
        <v>0.61199999999999999</v>
      </c>
      <c r="I9" t="s">
        <v>1154</v>
      </c>
      <c r="J9" s="3" t="s">
        <v>33</v>
      </c>
      <c r="K9" t="s">
        <v>33</v>
      </c>
      <c r="L9" t="s">
        <v>33</v>
      </c>
      <c r="M9" t="s">
        <v>33</v>
      </c>
      <c r="N9" t="s">
        <v>33</v>
      </c>
      <c r="O9" t="s">
        <v>33</v>
      </c>
      <c r="P9" s="113" t="s">
        <v>833</v>
      </c>
      <c r="R9" s="11"/>
      <c r="T9" t="s">
        <v>1179</v>
      </c>
      <c r="U9" t="s">
        <v>1180</v>
      </c>
    </row>
    <row r="10" spans="1:25" x14ac:dyDescent="0.2">
      <c r="A10" t="s">
        <v>55</v>
      </c>
      <c r="B10" t="s">
        <v>56</v>
      </c>
      <c r="C10" t="s">
        <v>54</v>
      </c>
      <c r="D10" t="s">
        <v>47</v>
      </c>
      <c r="E10" s="109" t="s">
        <v>55</v>
      </c>
      <c r="F10" s="102">
        <v>0.34499999999999997</v>
      </c>
      <c r="G10" s="102">
        <v>0.17799999999999999</v>
      </c>
      <c r="H10" s="102">
        <v>0.53600000000000003</v>
      </c>
      <c r="I10" t="s">
        <v>1154</v>
      </c>
      <c r="J10" s="3">
        <v>7.02</v>
      </c>
      <c r="K10">
        <v>9.17</v>
      </c>
      <c r="L10">
        <v>5.36</v>
      </c>
      <c r="M10">
        <v>6.11</v>
      </c>
      <c r="N10">
        <v>6.25</v>
      </c>
      <c r="O10">
        <v>8.24</v>
      </c>
      <c r="P10" s="113" t="s">
        <v>834</v>
      </c>
      <c r="Q10" s="106" t="s">
        <v>1195</v>
      </c>
      <c r="R10" s="11">
        <v>52.2</v>
      </c>
      <c r="T10" t="s">
        <v>1181</v>
      </c>
      <c r="U10" t="s">
        <v>1182</v>
      </c>
    </row>
    <row r="11" spans="1:25" x14ac:dyDescent="0.2">
      <c r="A11" t="s">
        <v>58</v>
      </c>
      <c r="B11" t="s">
        <v>59</v>
      </c>
      <c r="C11" t="s">
        <v>36</v>
      </c>
      <c r="D11" t="s">
        <v>37</v>
      </c>
      <c r="E11" s="109" t="s">
        <v>58</v>
      </c>
      <c r="F11" s="102">
        <v>3.0000000000000001E-3</v>
      </c>
      <c r="G11" s="102">
        <v>7.3999999999999996E-2</v>
      </c>
      <c r="H11" s="102">
        <v>0.39700000000000002</v>
      </c>
      <c r="I11" t="s">
        <v>1177</v>
      </c>
      <c r="J11" s="3">
        <v>4.79</v>
      </c>
      <c r="K11">
        <v>5.67</v>
      </c>
      <c r="L11">
        <v>4.6399999999999997</v>
      </c>
      <c r="M11">
        <v>5.56</v>
      </c>
      <c r="N11">
        <v>2.5</v>
      </c>
      <c r="O11">
        <v>5.59</v>
      </c>
      <c r="P11" s="113" t="s">
        <v>832</v>
      </c>
      <c r="Q11" s="106" t="s">
        <v>1196</v>
      </c>
      <c r="R11" s="11">
        <v>67.7</v>
      </c>
      <c r="T11" t="s">
        <v>1183</v>
      </c>
      <c r="U11" t="s">
        <v>1184</v>
      </c>
    </row>
    <row r="12" spans="1:25" x14ac:dyDescent="0.2">
      <c r="A12" t="s">
        <v>60</v>
      </c>
      <c r="B12" t="s">
        <v>61</v>
      </c>
      <c r="C12" t="s">
        <v>54</v>
      </c>
      <c r="D12" t="s">
        <v>47</v>
      </c>
      <c r="E12" s="109" t="s">
        <v>60</v>
      </c>
      <c r="F12" s="102">
        <v>0.20399999999999999</v>
      </c>
      <c r="G12" s="102">
        <v>0.14199999999999999</v>
      </c>
      <c r="H12" s="102">
        <v>0.48499999999999999</v>
      </c>
      <c r="I12" t="s">
        <v>1154</v>
      </c>
      <c r="J12" s="3" t="s">
        <v>33</v>
      </c>
      <c r="K12" t="s">
        <v>33</v>
      </c>
      <c r="L12" t="s">
        <v>33</v>
      </c>
      <c r="M12" t="s">
        <v>33</v>
      </c>
      <c r="N12" t="s">
        <v>33</v>
      </c>
      <c r="O12" t="s">
        <v>33</v>
      </c>
      <c r="P12" s="113" t="s">
        <v>833</v>
      </c>
      <c r="R12" s="11"/>
      <c r="T12" t="s">
        <v>1185</v>
      </c>
      <c r="U12" t="s">
        <v>1186</v>
      </c>
    </row>
    <row r="13" spans="1:25" x14ac:dyDescent="0.2">
      <c r="A13" t="s">
        <v>62</v>
      </c>
      <c r="B13" t="s">
        <v>63</v>
      </c>
      <c r="C13" t="s">
        <v>44</v>
      </c>
      <c r="D13" t="s">
        <v>47</v>
      </c>
      <c r="E13" s="109" t="s">
        <v>62</v>
      </c>
      <c r="F13" s="102">
        <v>0.121</v>
      </c>
      <c r="G13" s="102">
        <v>0.38200000000000001</v>
      </c>
      <c r="H13" s="102">
        <v>0.77700000000000002</v>
      </c>
      <c r="I13" t="s">
        <v>1173</v>
      </c>
      <c r="J13" s="3">
        <v>9.09</v>
      </c>
      <c r="K13">
        <v>10</v>
      </c>
      <c r="L13">
        <v>8.93</v>
      </c>
      <c r="M13">
        <v>7.78</v>
      </c>
      <c r="N13">
        <v>8.75</v>
      </c>
      <c r="O13">
        <v>10</v>
      </c>
      <c r="P13" s="113" t="s">
        <v>835</v>
      </c>
      <c r="Q13" s="106" t="s">
        <v>1197</v>
      </c>
      <c r="R13" s="11">
        <v>80.900000000000006</v>
      </c>
    </row>
    <row r="14" spans="1:25" x14ac:dyDescent="0.2">
      <c r="A14" t="s">
        <v>65</v>
      </c>
      <c r="B14" t="s">
        <v>66</v>
      </c>
      <c r="C14" t="s">
        <v>36</v>
      </c>
      <c r="D14" t="s">
        <v>47</v>
      </c>
      <c r="E14" s="109" t="s">
        <v>65</v>
      </c>
      <c r="F14" s="102">
        <v>0.24</v>
      </c>
      <c r="G14" s="102">
        <v>0.19500000000000001</v>
      </c>
      <c r="H14" s="102">
        <v>0.55000000000000004</v>
      </c>
      <c r="I14" t="s">
        <v>1154</v>
      </c>
      <c r="J14" s="3">
        <v>8.2899999999999991</v>
      </c>
      <c r="K14">
        <v>9.58</v>
      </c>
      <c r="L14">
        <v>7.86</v>
      </c>
      <c r="M14">
        <v>8.33</v>
      </c>
      <c r="N14">
        <v>6.88</v>
      </c>
      <c r="O14">
        <v>8.82</v>
      </c>
      <c r="P14" s="113" t="s">
        <v>835</v>
      </c>
      <c r="Q14" s="106" t="s">
        <v>1198</v>
      </c>
      <c r="R14" s="11">
        <v>72</v>
      </c>
    </row>
    <row r="15" spans="1:25" x14ac:dyDescent="0.2">
      <c r="A15" t="s">
        <v>68</v>
      </c>
      <c r="B15" t="s">
        <v>69</v>
      </c>
      <c r="C15" t="s">
        <v>36</v>
      </c>
      <c r="D15" t="s">
        <v>37</v>
      </c>
      <c r="E15" s="109" t="s">
        <v>68</v>
      </c>
      <c r="F15" s="102">
        <v>0.60199999999999998</v>
      </c>
      <c r="G15" s="102">
        <v>7.3999999999999996E-2</v>
      </c>
      <c r="H15" s="102">
        <v>0.38700000000000001</v>
      </c>
      <c r="I15" t="s">
        <v>1187</v>
      </c>
      <c r="J15" s="3">
        <v>2.65</v>
      </c>
      <c r="K15">
        <v>0.5</v>
      </c>
      <c r="L15">
        <v>2.14</v>
      </c>
      <c r="M15">
        <v>3.33</v>
      </c>
      <c r="N15">
        <v>3.75</v>
      </c>
      <c r="O15">
        <v>3.53</v>
      </c>
      <c r="P15" s="113" t="s">
        <v>831</v>
      </c>
      <c r="Q15" s="106" t="s">
        <v>1199</v>
      </c>
      <c r="R15" s="11">
        <v>65.400000000000006</v>
      </c>
    </row>
    <row r="16" spans="1:25" x14ac:dyDescent="0.2">
      <c r="A16" t="s">
        <v>70</v>
      </c>
      <c r="B16" t="s">
        <v>71</v>
      </c>
      <c r="C16" t="s">
        <v>54</v>
      </c>
      <c r="D16" t="s">
        <v>47</v>
      </c>
      <c r="E16" s="109" t="s">
        <v>70</v>
      </c>
      <c r="F16" s="102">
        <v>1.4999999999999999E-2</v>
      </c>
      <c r="G16" s="102">
        <v>9.8000000000000004E-2</v>
      </c>
      <c r="H16" s="102">
        <v>0.40899999999999997</v>
      </c>
      <c r="I16" t="s">
        <v>1177</v>
      </c>
      <c r="J16" s="3" t="s">
        <v>33</v>
      </c>
      <c r="K16" t="s">
        <v>33</v>
      </c>
      <c r="L16" t="s">
        <v>33</v>
      </c>
      <c r="M16" t="s">
        <v>33</v>
      </c>
      <c r="N16" t="s">
        <v>33</v>
      </c>
      <c r="O16" t="s">
        <v>33</v>
      </c>
      <c r="P16" s="113" t="s">
        <v>833</v>
      </c>
      <c r="Q16" s="106" t="s">
        <v>1200</v>
      </c>
      <c r="R16" s="11">
        <v>62.9</v>
      </c>
    </row>
    <row r="17" spans="1:18" x14ac:dyDescent="0.2">
      <c r="A17" t="s">
        <v>72</v>
      </c>
      <c r="B17" t="s">
        <v>73</v>
      </c>
      <c r="C17" t="s">
        <v>40</v>
      </c>
      <c r="D17" t="s">
        <v>47</v>
      </c>
      <c r="E17" s="109" t="s">
        <v>72</v>
      </c>
      <c r="F17" s="102">
        <v>0.34</v>
      </c>
      <c r="G17" s="102">
        <v>0.13800000000000001</v>
      </c>
      <c r="H17" s="102">
        <v>0.47599999999999998</v>
      </c>
      <c r="I17" s="10" t="s">
        <v>1185</v>
      </c>
      <c r="J17" s="3">
        <v>2.71</v>
      </c>
      <c r="K17">
        <v>0.83</v>
      </c>
      <c r="L17">
        <v>3.21</v>
      </c>
      <c r="M17">
        <v>2.78</v>
      </c>
      <c r="N17">
        <v>4.38</v>
      </c>
      <c r="O17">
        <v>2.35</v>
      </c>
      <c r="P17" s="113" t="s">
        <v>831</v>
      </c>
      <c r="Q17" s="106" t="s">
        <v>1201</v>
      </c>
      <c r="R17" s="11">
        <v>66.400000000000006</v>
      </c>
    </row>
    <row r="18" spans="1:18" x14ac:dyDescent="0.2">
      <c r="A18" t="s">
        <v>74</v>
      </c>
      <c r="B18" t="s">
        <v>75</v>
      </c>
      <c r="C18" t="s">
        <v>31</v>
      </c>
      <c r="D18" t="s">
        <v>51</v>
      </c>
      <c r="E18" s="109" t="s">
        <v>74</v>
      </c>
      <c r="F18" s="102">
        <v>0.16700000000000001</v>
      </c>
      <c r="G18" s="102">
        <v>0.26500000000000001</v>
      </c>
      <c r="H18" s="102">
        <v>0.625</v>
      </c>
      <c r="I18" t="s">
        <v>1185</v>
      </c>
      <c r="J18" s="3">
        <v>5.57</v>
      </c>
      <c r="K18">
        <v>7.83</v>
      </c>
      <c r="L18">
        <v>5.07</v>
      </c>
      <c r="M18">
        <v>5.56</v>
      </c>
      <c r="N18">
        <v>4.38</v>
      </c>
      <c r="O18">
        <v>5</v>
      </c>
      <c r="P18" s="113" t="s">
        <v>832</v>
      </c>
      <c r="Q18" s="106" t="s">
        <v>1202</v>
      </c>
      <c r="R18" s="11">
        <v>55.6</v>
      </c>
    </row>
    <row r="19" spans="1:18" x14ac:dyDescent="0.2">
      <c r="A19" t="s">
        <v>76</v>
      </c>
      <c r="B19" t="s">
        <v>77</v>
      </c>
      <c r="C19" t="s">
        <v>54</v>
      </c>
      <c r="D19" t="s">
        <v>47</v>
      </c>
      <c r="E19" s="109" t="s">
        <v>76</v>
      </c>
      <c r="F19" s="102">
        <v>8.7999999999999995E-2</v>
      </c>
      <c r="G19" s="102">
        <v>0.376</v>
      </c>
      <c r="H19" s="102">
        <v>0.77200000000000002</v>
      </c>
      <c r="I19" t="s">
        <v>1173</v>
      </c>
      <c r="J19" s="3" t="s">
        <v>33</v>
      </c>
      <c r="K19" t="s">
        <v>33</v>
      </c>
      <c r="L19" t="s">
        <v>33</v>
      </c>
      <c r="M19" t="s">
        <v>33</v>
      </c>
      <c r="N19" t="s">
        <v>33</v>
      </c>
      <c r="O19" t="s">
        <v>33</v>
      </c>
      <c r="P19" s="113" t="s">
        <v>833</v>
      </c>
      <c r="Q19" s="106" t="s">
        <v>1203</v>
      </c>
      <c r="R19" s="11">
        <v>64.7</v>
      </c>
    </row>
    <row r="20" spans="1:18" x14ac:dyDescent="0.2">
      <c r="A20" t="s">
        <v>78</v>
      </c>
      <c r="B20" t="s">
        <v>79</v>
      </c>
      <c r="C20" t="s">
        <v>36</v>
      </c>
      <c r="D20" t="s">
        <v>37</v>
      </c>
      <c r="E20" s="109" t="s">
        <v>78</v>
      </c>
      <c r="F20" s="102">
        <v>0.03</v>
      </c>
      <c r="G20" s="102">
        <v>0.1</v>
      </c>
      <c r="H20" s="102">
        <v>0.41899999999999998</v>
      </c>
      <c r="I20" t="s">
        <v>1154</v>
      </c>
      <c r="J20" s="3">
        <v>3.13</v>
      </c>
      <c r="K20">
        <v>0.92</v>
      </c>
      <c r="L20">
        <v>2.86</v>
      </c>
      <c r="M20">
        <v>3.89</v>
      </c>
      <c r="N20">
        <v>5.63</v>
      </c>
      <c r="O20">
        <v>2.35</v>
      </c>
      <c r="P20" s="113" t="s">
        <v>831</v>
      </c>
      <c r="Q20" s="106" t="s">
        <v>1204</v>
      </c>
      <c r="R20" s="11">
        <v>57.9</v>
      </c>
    </row>
    <row r="21" spans="1:18" x14ac:dyDescent="0.2">
      <c r="A21" t="s">
        <v>80</v>
      </c>
      <c r="B21" t="s">
        <v>81</v>
      </c>
      <c r="C21" t="s">
        <v>36</v>
      </c>
      <c r="D21" t="s">
        <v>47</v>
      </c>
      <c r="E21" s="109" t="s">
        <v>80</v>
      </c>
      <c r="F21" s="102">
        <v>2.8000000000000001E-2</v>
      </c>
      <c r="G21" s="102">
        <v>0.29199999999999998</v>
      </c>
      <c r="H21" s="102">
        <v>0.66600000000000004</v>
      </c>
      <c r="I21" t="s">
        <v>1172</v>
      </c>
      <c r="J21" s="3">
        <v>7.78</v>
      </c>
      <c r="K21">
        <v>9.58</v>
      </c>
      <c r="L21">
        <v>8.93</v>
      </c>
      <c r="M21">
        <v>5</v>
      </c>
      <c r="N21">
        <v>6.88</v>
      </c>
      <c r="O21">
        <v>8.5299999999999994</v>
      </c>
      <c r="P21" s="113" t="s">
        <v>834</v>
      </c>
      <c r="Q21" s="106" t="s">
        <v>1205</v>
      </c>
      <c r="R21" s="11">
        <v>67.3</v>
      </c>
    </row>
    <row r="22" spans="1:18" x14ac:dyDescent="0.2">
      <c r="A22" t="s">
        <v>82</v>
      </c>
      <c r="B22" t="s">
        <v>83</v>
      </c>
      <c r="C22" t="s">
        <v>54</v>
      </c>
      <c r="D22" t="s">
        <v>37</v>
      </c>
      <c r="E22" s="109" t="s">
        <v>82</v>
      </c>
      <c r="F22" s="102">
        <v>5.8000000000000003E-2</v>
      </c>
      <c r="G22" s="102">
        <v>0.39200000000000002</v>
      </c>
      <c r="H22" s="102">
        <v>0.79100000000000004</v>
      </c>
      <c r="I22" t="s">
        <v>1173</v>
      </c>
      <c r="J22" s="3" t="s">
        <v>33</v>
      </c>
      <c r="K22" t="s">
        <v>33</v>
      </c>
      <c r="L22" t="s">
        <v>33</v>
      </c>
      <c r="M22" t="s">
        <v>33</v>
      </c>
      <c r="N22" t="s">
        <v>33</v>
      </c>
      <c r="O22" t="s">
        <v>33</v>
      </c>
      <c r="P22" s="113" t="s">
        <v>833</v>
      </c>
      <c r="Q22" s="106" t="s">
        <v>1206</v>
      </c>
      <c r="R22" s="11">
        <v>55.4</v>
      </c>
    </row>
    <row r="23" spans="1:18" x14ac:dyDescent="0.2">
      <c r="A23" t="s">
        <v>84</v>
      </c>
      <c r="B23" t="s">
        <v>85</v>
      </c>
      <c r="C23" t="s">
        <v>50</v>
      </c>
      <c r="D23" t="s">
        <v>32</v>
      </c>
      <c r="E23" s="109" t="s">
        <v>84</v>
      </c>
      <c r="F23" s="102">
        <v>7.0000000000000001E-3</v>
      </c>
      <c r="G23" s="102">
        <v>0.155</v>
      </c>
      <c r="H23" s="102">
        <v>0.504</v>
      </c>
      <c r="I23" t="s">
        <v>1154</v>
      </c>
      <c r="J23" s="3">
        <v>5.74</v>
      </c>
      <c r="K23">
        <v>6.5</v>
      </c>
      <c r="L23">
        <v>5.71</v>
      </c>
      <c r="M23">
        <v>5</v>
      </c>
      <c r="N23">
        <v>5.63</v>
      </c>
      <c r="O23">
        <v>5.88</v>
      </c>
      <c r="P23" s="113" t="s">
        <v>832</v>
      </c>
      <c r="Q23" s="106" t="s">
        <v>1207</v>
      </c>
      <c r="R23" s="11">
        <v>55.3</v>
      </c>
    </row>
    <row r="24" spans="1:18" x14ac:dyDescent="0.2">
      <c r="A24" t="s">
        <v>86</v>
      </c>
      <c r="B24" t="s">
        <v>87</v>
      </c>
      <c r="C24" t="s">
        <v>88</v>
      </c>
      <c r="D24" t="s">
        <v>47</v>
      </c>
      <c r="E24" s="109" t="s">
        <v>86</v>
      </c>
      <c r="F24" s="102">
        <v>0.217</v>
      </c>
      <c r="G24" s="102">
        <v>0.24199999999999999</v>
      </c>
      <c r="H24" s="102">
        <v>0.60699999999999998</v>
      </c>
      <c r="I24" t="s">
        <v>1154</v>
      </c>
      <c r="J24" s="3" t="s">
        <v>33</v>
      </c>
      <c r="K24" t="s">
        <v>33</v>
      </c>
      <c r="L24" t="s">
        <v>33</v>
      </c>
      <c r="M24" t="s">
        <v>33</v>
      </c>
      <c r="N24" t="s">
        <v>33</v>
      </c>
      <c r="O24" t="s">
        <v>33</v>
      </c>
      <c r="P24" s="113" t="s">
        <v>833</v>
      </c>
      <c r="R24" s="11"/>
    </row>
    <row r="25" spans="1:18" x14ac:dyDescent="0.2">
      <c r="A25" t="s">
        <v>89</v>
      </c>
      <c r="B25" t="s">
        <v>90</v>
      </c>
      <c r="C25" t="s">
        <v>31</v>
      </c>
      <c r="D25" t="s">
        <v>51</v>
      </c>
      <c r="E25" s="109" t="s">
        <v>89</v>
      </c>
      <c r="F25" s="102">
        <v>2.5999999999999999E-2</v>
      </c>
      <c r="G25" s="102">
        <v>0.23200000000000001</v>
      </c>
      <c r="H25" s="102">
        <v>0.60199999999999998</v>
      </c>
      <c r="I25" t="s">
        <v>1172</v>
      </c>
      <c r="J25" s="3">
        <v>5.3</v>
      </c>
      <c r="K25">
        <v>8.75</v>
      </c>
      <c r="L25">
        <v>6.79</v>
      </c>
      <c r="M25">
        <v>2.78</v>
      </c>
      <c r="N25">
        <v>4.38</v>
      </c>
      <c r="O25">
        <v>3.82</v>
      </c>
      <c r="P25" s="113" t="s">
        <v>832</v>
      </c>
      <c r="Q25" s="106" t="s">
        <v>1208</v>
      </c>
      <c r="R25" s="11">
        <v>62.9</v>
      </c>
    </row>
    <row r="26" spans="1:18" x14ac:dyDescent="0.2">
      <c r="A26" t="s">
        <v>91</v>
      </c>
      <c r="B26" t="s">
        <v>92</v>
      </c>
      <c r="C26" t="s">
        <v>54</v>
      </c>
      <c r="D26" t="s">
        <v>51</v>
      </c>
      <c r="E26" s="109" t="s">
        <v>91</v>
      </c>
      <c r="F26" s="102">
        <v>0.10299999999999999</v>
      </c>
      <c r="G26" s="102">
        <v>0.216</v>
      </c>
      <c r="H26" s="102">
        <v>0.57599999999999996</v>
      </c>
      <c r="I26" s="10" t="s">
        <v>1185</v>
      </c>
      <c r="J26" s="3">
        <v>5.7</v>
      </c>
      <c r="K26">
        <v>7.5</v>
      </c>
      <c r="L26">
        <v>4.6399999999999997</v>
      </c>
      <c r="M26">
        <v>5.56</v>
      </c>
      <c r="N26">
        <v>3.75</v>
      </c>
      <c r="O26">
        <v>7.06</v>
      </c>
      <c r="P26" s="113" t="s">
        <v>832</v>
      </c>
      <c r="Q26" s="106" t="s">
        <v>1209</v>
      </c>
      <c r="R26" s="11">
        <v>42.3</v>
      </c>
    </row>
    <row r="27" spans="1:18" x14ac:dyDescent="0.2">
      <c r="A27" t="s">
        <v>93</v>
      </c>
      <c r="B27" t="s">
        <v>94</v>
      </c>
      <c r="C27" t="s">
        <v>36</v>
      </c>
      <c r="D27" t="s">
        <v>37</v>
      </c>
      <c r="E27" s="109" t="s">
        <v>1539</v>
      </c>
      <c r="F27" s="102">
        <v>1.0999999999999999E-2</v>
      </c>
      <c r="G27" s="102">
        <v>0.3</v>
      </c>
      <c r="H27" s="102">
        <v>0.68</v>
      </c>
      <c r="I27" t="s">
        <v>1172</v>
      </c>
      <c r="J27" s="3">
        <v>4.9800000000000004</v>
      </c>
      <c r="K27">
        <v>6.5</v>
      </c>
      <c r="L27">
        <v>2.93</v>
      </c>
      <c r="M27">
        <v>5.56</v>
      </c>
      <c r="N27">
        <v>3.75</v>
      </c>
      <c r="O27">
        <v>6.18</v>
      </c>
      <c r="P27" s="113" t="s">
        <v>832</v>
      </c>
      <c r="Q27" s="106" t="s">
        <v>1210</v>
      </c>
      <c r="R27" s="11">
        <v>61.9</v>
      </c>
    </row>
    <row r="28" spans="1:18" x14ac:dyDescent="0.2">
      <c r="A28" t="s">
        <v>95</v>
      </c>
      <c r="B28" t="s">
        <v>96</v>
      </c>
      <c r="C28" t="s">
        <v>50</v>
      </c>
      <c r="D28" t="s">
        <v>37</v>
      </c>
      <c r="E28" s="109" t="s">
        <v>95</v>
      </c>
      <c r="F28" s="102">
        <v>4.1000000000000002E-2</v>
      </c>
      <c r="G28" s="102">
        <v>0.16900000000000001</v>
      </c>
      <c r="H28" s="102">
        <v>0.51600000000000001</v>
      </c>
      <c r="I28" t="s">
        <v>1154</v>
      </c>
      <c r="J28" s="3">
        <v>7.81</v>
      </c>
      <c r="K28">
        <v>9.17</v>
      </c>
      <c r="L28">
        <v>7.14</v>
      </c>
      <c r="M28">
        <v>6.11</v>
      </c>
      <c r="N28">
        <v>7.5</v>
      </c>
      <c r="O28">
        <v>9.1199999999999992</v>
      </c>
      <c r="P28" s="113" t="s">
        <v>834</v>
      </c>
      <c r="Q28" s="106" t="s">
        <v>1211</v>
      </c>
      <c r="R28" s="11">
        <v>69.5</v>
      </c>
    </row>
    <row r="29" spans="1:18" x14ac:dyDescent="0.2">
      <c r="A29" t="s">
        <v>97</v>
      </c>
      <c r="B29" t="s">
        <v>98</v>
      </c>
      <c r="C29" t="s">
        <v>54</v>
      </c>
      <c r="D29" t="s">
        <v>37</v>
      </c>
      <c r="E29" s="109" t="s">
        <v>97</v>
      </c>
      <c r="F29" s="102">
        <v>3.9E-2</v>
      </c>
      <c r="G29" s="102">
        <v>0.313</v>
      </c>
      <c r="H29" s="102">
        <v>0.70099999999999996</v>
      </c>
      <c r="I29" t="s">
        <v>1172</v>
      </c>
      <c r="J29" s="3">
        <v>6.97</v>
      </c>
      <c r="K29">
        <v>9.58</v>
      </c>
      <c r="L29">
        <v>5.36</v>
      </c>
      <c r="M29">
        <v>6.67</v>
      </c>
      <c r="N29">
        <v>5</v>
      </c>
      <c r="O29">
        <v>8.24</v>
      </c>
      <c r="P29" s="113" t="s">
        <v>834</v>
      </c>
      <c r="Q29" s="106" t="s">
        <v>1212</v>
      </c>
      <c r="R29" s="11">
        <v>51.9</v>
      </c>
    </row>
    <row r="30" spans="1:18" x14ac:dyDescent="0.2">
      <c r="A30" t="s">
        <v>99</v>
      </c>
      <c r="B30" t="s">
        <v>100</v>
      </c>
      <c r="C30" t="s">
        <v>54</v>
      </c>
      <c r="D30" t="s">
        <v>47</v>
      </c>
      <c r="E30" s="109" t="s">
        <v>99</v>
      </c>
      <c r="F30" s="102">
        <v>0.01</v>
      </c>
      <c r="G30" s="102">
        <v>0.15</v>
      </c>
      <c r="H30" s="102">
        <v>0.495</v>
      </c>
      <c r="I30" t="s">
        <v>1177</v>
      </c>
      <c r="J30" s="3" t="s">
        <v>33</v>
      </c>
      <c r="K30" t="s">
        <v>33</v>
      </c>
      <c r="L30" t="s">
        <v>33</v>
      </c>
      <c r="M30" t="s">
        <v>33</v>
      </c>
      <c r="N30" t="s">
        <v>33</v>
      </c>
      <c r="O30" t="s">
        <v>33</v>
      </c>
      <c r="P30" s="113" t="s">
        <v>833</v>
      </c>
      <c r="R30" s="11"/>
    </row>
    <row r="31" spans="1:18" x14ac:dyDescent="0.2">
      <c r="A31" t="s">
        <v>101</v>
      </c>
      <c r="B31" t="s">
        <v>102</v>
      </c>
      <c r="C31" t="s">
        <v>44</v>
      </c>
      <c r="D31" t="s">
        <v>47</v>
      </c>
      <c r="E31" s="109" t="s">
        <v>1540</v>
      </c>
      <c r="F31" s="102">
        <v>5.0000000000000001E-3</v>
      </c>
      <c r="G31" s="102">
        <v>8.8999999999999996E-2</v>
      </c>
      <c r="H31" s="102">
        <v>0.40500000000000003</v>
      </c>
      <c r="I31" t="s">
        <v>1187</v>
      </c>
      <c r="J31" s="3" t="s">
        <v>33</v>
      </c>
      <c r="K31" t="s">
        <v>33</v>
      </c>
      <c r="L31" t="s">
        <v>33</v>
      </c>
      <c r="M31" t="s">
        <v>33</v>
      </c>
      <c r="N31" t="s">
        <v>33</v>
      </c>
      <c r="O31" t="s">
        <v>33</v>
      </c>
      <c r="P31" s="113" t="s">
        <v>833</v>
      </c>
      <c r="Q31" s="106" t="s">
        <v>1213</v>
      </c>
      <c r="R31" s="11">
        <v>65.099999999999994</v>
      </c>
    </row>
    <row r="32" spans="1:18" x14ac:dyDescent="0.2">
      <c r="A32" t="s">
        <v>103</v>
      </c>
      <c r="B32" t="s">
        <v>104</v>
      </c>
      <c r="C32" t="s">
        <v>36</v>
      </c>
      <c r="D32" t="s">
        <v>37</v>
      </c>
      <c r="E32" s="109" t="s">
        <v>103</v>
      </c>
      <c r="F32" s="102">
        <v>0.23499999999999999</v>
      </c>
      <c r="G32" s="102">
        <v>0.26900000000000002</v>
      </c>
      <c r="H32" s="102">
        <v>0.67900000000000005</v>
      </c>
      <c r="I32" t="s">
        <v>1172</v>
      </c>
      <c r="J32" s="3">
        <v>7.03</v>
      </c>
      <c r="K32">
        <v>9.17</v>
      </c>
      <c r="L32">
        <v>6.43</v>
      </c>
      <c r="M32">
        <v>7.22</v>
      </c>
      <c r="N32">
        <v>4.38</v>
      </c>
      <c r="O32">
        <v>7.94</v>
      </c>
      <c r="P32" s="113" t="s">
        <v>834</v>
      </c>
      <c r="Q32" s="106" t="s">
        <v>1214</v>
      </c>
      <c r="R32" s="11">
        <v>69</v>
      </c>
    </row>
    <row r="33" spans="1:18" x14ac:dyDescent="0.2">
      <c r="A33" t="s">
        <v>105</v>
      </c>
      <c r="B33" t="s">
        <v>106</v>
      </c>
      <c r="C33" t="s">
        <v>50</v>
      </c>
      <c r="D33" t="s">
        <v>32</v>
      </c>
      <c r="E33" s="109" t="s">
        <v>105</v>
      </c>
      <c r="F33" s="102">
        <v>0.11600000000000001</v>
      </c>
      <c r="G33" s="102">
        <v>0.311</v>
      </c>
      <c r="H33" s="102">
        <v>0.69699999999999995</v>
      </c>
      <c r="I33" t="s">
        <v>1172</v>
      </c>
      <c r="J33" s="3">
        <v>4.75</v>
      </c>
      <c r="K33">
        <v>4.42</v>
      </c>
      <c r="L33">
        <v>4.29</v>
      </c>
      <c r="M33">
        <v>4.4400000000000004</v>
      </c>
      <c r="N33">
        <v>5.63</v>
      </c>
      <c r="O33">
        <v>5</v>
      </c>
      <c r="P33" s="113" t="s">
        <v>832</v>
      </c>
      <c r="Q33" s="106" t="s">
        <v>1215</v>
      </c>
      <c r="R33" s="11">
        <v>59.4</v>
      </c>
    </row>
    <row r="34" spans="1:18" x14ac:dyDescent="0.2">
      <c r="A34" t="s">
        <v>107</v>
      </c>
      <c r="B34" t="s">
        <v>108</v>
      </c>
      <c r="C34" t="s">
        <v>50</v>
      </c>
      <c r="D34" t="s">
        <v>32</v>
      </c>
      <c r="E34" s="109" t="s">
        <v>107</v>
      </c>
      <c r="F34" s="102">
        <v>4.7E-2</v>
      </c>
      <c r="G34" s="102">
        <v>0.34100000000000003</v>
      </c>
      <c r="H34" s="102">
        <v>0.73899999999999999</v>
      </c>
      <c r="I34" t="s">
        <v>1172</v>
      </c>
      <c r="J34" s="3">
        <v>2.33</v>
      </c>
      <c r="K34">
        <v>0</v>
      </c>
      <c r="L34">
        <v>0.43</v>
      </c>
      <c r="M34">
        <v>3.89</v>
      </c>
      <c r="N34">
        <v>5</v>
      </c>
      <c r="O34">
        <v>2.35</v>
      </c>
      <c r="P34" s="113" t="s">
        <v>831</v>
      </c>
      <c r="Q34" s="106" t="s">
        <v>1216</v>
      </c>
      <c r="R34" s="11">
        <v>48.9</v>
      </c>
    </row>
    <row r="35" spans="1:18" x14ac:dyDescent="0.2">
      <c r="A35" t="s">
        <v>109</v>
      </c>
      <c r="B35" t="s">
        <v>110</v>
      </c>
      <c r="C35" t="s">
        <v>50</v>
      </c>
      <c r="D35" t="s">
        <v>51</v>
      </c>
      <c r="E35" s="109" t="s">
        <v>109</v>
      </c>
      <c r="F35" s="102">
        <v>4.2999999999999997E-2</v>
      </c>
      <c r="G35" s="102">
        <v>0.28000000000000003</v>
      </c>
      <c r="H35" s="102">
        <v>0.64</v>
      </c>
      <c r="I35" t="s">
        <v>1154</v>
      </c>
      <c r="J35" s="3">
        <v>7.88</v>
      </c>
      <c r="K35">
        <v>9.17</v>
      </c>
      <c r="L35">
        <v>7.86</v>
      </c>
      <c r="M35">
        <v>6.67</v>
      </c>
      <c r="N35">
        <v>6.88</v>
      </c>
      <c r="O35">
        <v>8.82</v>
      </c>
      <c r="P35" s="113" t="s">
        <v>834</v>
      </c>
      <c r="Q35" s="106" t="s">
        <v>1217</v>
      </c>
      <c r="R35" s="11">
        <v>63.1</v>
      </c>
    </row>
    <row r="36" spans="1:18" x14ac:dyDescent="0.2">
      <c r="A36" t="s">
        <v>111</v>
      </c>
      <c r="B36" t="s">
        <v>112</v>
      </c>
      <c r="C36" t="s">
        <v>44</v>
      </c>
      <c r="D36" t="s">
        <v>51</v>
      </c>
      <c r="E36" s="109" t="s">
        <v>111</v>
      </c>
      <c r="F36" s="102">
        <v>0.154</v>
      </c>
      <c r="G36" s="102">
        <v>0.23</v>
      </c>
      <c r="H36" s="102">
        <v>0.6</v>
      </c>
      <c r="I36" t="s">
        <v>1172</v>
      </c>
      <c r="J36" s="3">
        <v>3.59</v>
      </c>
      <c r="K36">
        <v>1.33</v>
      </c>
      <c r="L36">
        <v>5</v>
      </c>
      <c r="M36">
        <v>2.78</v>
      </c>
      <c r="N36">
        <v>5.63</v>
      </c>
      <c r="O36">
        <v>3.24</v>
      </c>
      <c r="P36" s="113" t="s">
        <v>831</v>
      </c>
      <c r="Q36" s="106" t="s">
        <v>1218</v>
      </c>
      <c r="R36" s="11">
        <v>57.8</v>
      </c>
    </row>
    <row r="37" spans="1:18" x14ac:dyDescent="0.2">
      <c r="A37" t="s">
        <v>113</v>
      </c>
      <c r="B37" t="s">
        <v>114</v>
      </c>
      <c r="C37" t="s">
        <v>50</v>
      </c>
      <c r="D37" t="s">
        <v>51</v>
      </c>
      <c r="E37" s="109" t="s">
        <v>113</v>
      </c>
      <c r="F37" s="102">
        <v>2.3E-2</v>
      </c>
      <c r="G37" s="102">
        <v>0.36899999999999999</v>
      </c>
      <c r="H37" s="102">
        <v>0.76600000000000001</v>
      </c>
      <c r="I37" t="s">
        <v>1173</v>
      </c>
      <c r="J37" s="3">
        <v>3.28</v>
      </c>
      <c r="K37">
        <v>3.17</v>
      </c>
      <c r="L37">
        <v>2.86</v>
      </c>
      <c r="M37">
        <v>3.33</v>
      </c>
      <c r="N37">
        <v>4.38</v>
      </c>
      <c r="O37">
        <v>2.65</v>
      </c>
      <c r="P37" s="113" t="s">
        <v>831</v>
      </c>
      <c r="Q37" s="106" t="s">
        <v>1219</v>
      </c>
      <c r="R37" s="11">
        <v>52.4</v>
      </c>
    </row>
    <row r="38" spans="1:18" x14ac:dyDescent="0.2">
      <c r="A38" t="s">
        <v>115</v>
      </c>
      <c r="B38" t="s">
        <v>116</v>
      </c>
      <c r="C38" t="s">
        <v>88</v>
      </c>
      <c r="D38" t="s">
        <v>47</v>
      </c>
      <c r="E38" s="109" t="s">
        <v>115</v>
      </c>
      <c r="F38" s="102">
        <v>4.0000000000000001E-3</v>
      </c>
      <c r="G38" s="102">
        <v>0.33300000000000002</v>
      </c>
      <c r="H38" s="102">
        <v>0.73699999999999999</v>
      </c>
      <c r="I38" t="s">
        <v>1172</v>
      </c>
      <c r="J38" s="3">
        <v>9.15</v>
      </c>
      <c r="K38">
        <v>9.58</v>
      </c>
      <c r="L38">
        <v>9.64</v>
      </c>
      <c r="M38">
        <v>7.78</v>
      </c>
      <c r="N38">
        <v>8.75</v>
      </c>
      <c r="O38">
        <v>10</v>
      </c>
      <c r="P38" s="113" t="s">
        <v>835</v>
      </c>
      <c r="Q38" s="106" t="s">
        <v>1220</v>
      </c>
      <c r="R38" s="11">
        <v>77.7</v>
      </c>
    </row>
    <row r="39" spans="1:18" x14ac:dyDescent="0.2">
      <c r="A39" t="s">
        <v>117</v>
      </c>
      <c r="B39" t="s">
        <v>118</v>
      </c>
      <c r="C39" t="s">
        <v>54</v>
      </c>
      <c r="D39" t="s">
        <v>47</v>
      </c>
      <c r="E39" s="109" t="s">
        <v>117</v>
      </c>
      <c r="F39" s="102">
        <v>8.2000000000000003E-2</v>
      </c>
      <c r="G39" s="102">
        <v>0.23699999999999999</v>
      </c>
      <c r="H39" s="102">
        <v>0.60399999999999998</v>
      </c>
      <c r="I39" t="s">
        <v>1154</v>
      </c>
      <c r="J39" s="3" t="s">
        <v>33</v>
      </c>
      <c r="K39" t="s">
        <v>33</v>
      </c>
      <c r="L39" t="s">
        <v>33</v>
      </c>
      <c r="M39" t="s">
        <v>33</v>
      </c>
      <c r="N39" t="s">
        <v>33</v>
      </c>
      <c r="O39" t="s">
        <v>33</v>
      </c>
      <c r="P39" s="113" t="s">
        <v>833</v>
      </c>
      <c r="R39" s="11"/>
    </row>
    <row r="40" spans="1:18" x14ac:dyDescent="0.2">
      <c r="A40" t="s">
        <v>119</v>
      </c>
      <c r="B40" t="s">
        <v>120</v>
      </c>
      <c r="C40" t="s">
        <v>50</v>
      </c>
      <c r="D40" t="s">
        <v>32</v>
      </c>
      <c r="E40" s="109" t="s">
        <v>1541</v>
      </c>
      <c r="F40" s="102">
        <v>4.0000000000000001E-3</v>
      </c>
      <c r="G40" s="102">
        <v>0.58699999999999997</v>
      </c>
      <c r="H40" s="102">
        <v>0.96</v>
      </c>
      <c r="I40" t="s">
        <v>1173</v>
      </c>
      <c r="J40" s="3">
        <v>1.52</v>
      </c>
      <c r="K40">
        <v>2.25</v>
      </c>
      <c r="L40">
        <v>0</v>
      </c>
      <c r="M40">
        <v>1.1100000000000001</v>
      </c>
      <c r="N40">
        <v>1.88</v>
      </c>
      <c r="O40">
        <v>2.35</v>
      </c>
      <c r="P40" s="113" t="s">
        <v>831</v>
      </c>
      <c r="Q40" s="106" t="s">
        <v>1221</v>
      </c>
      <c r="R40" s="11">
        <v>49.1</v>
      </c>
    </row>
    <row r="41" spans="1:18" x14ac:dyDescent="0.2">
      <c r="A41" t="s">
        <v>121</v>
      </c>
      <c r="B41" t="s">
        <v>122</v>
      </c>
      <c r="C41" t="s">
        <v>50</v>
      </c>
      <c r="D41" t="s">
        <v>32</v>
      </c>
      <c r="E41" s="109" t="s">
        <v>121</v>
      </c>
      <c r="F41" s="102">
        <v>0.34300000000000003</v>
      </c>
      <c r="G41" s="102">
        <v>7.5999999999999998E-2</v>
      </c>
      <c r="H41" s="102">
        <v>0.40200000000000002</v>
      </c>
      <c r="I41" t="s">
        <v>1177</v>
      </c>
      <c r="J41" s="3">
        <v>1.61</v>
      </c>
      <c r="K41">
        <v>0</v>
      </c>
      <c r="L41">
        <v>0</v>
      </c>
      <c r="M41">
        <v>1.67</v>
      </c>
      <c r="N41">
        <v>3.75</v>
      </c>
      <c r="O41">
        <v>2.65</v>
      </c>
      <c r="P41" s="113" t="s">
        <v>831</v>
      </c>
      <c r="Q41" s="106" t="s">
        <v>1222</v>
      </c>
      <c r="R41" s="11">
        <v>49.9</v>
      </c>
    </row>
    <row r="42" spans="1:18" x14ac:dyDescent="0.2">
      <c r="A42" t="s">
        <v>123</v>
      </c>
      <c r="B42" t="s">
        <v>124</v>
      </c>
      <c r="C42" t="s">
        <v>36</v>
      </c>
      <c r="D42" t="s">
        <v>47</v>
      </c>
      <c r="E42" s="109" t="s">
        <v>125</v>
      </c>
      <c r="F42" s="102">
        <v>1.6E-2</v>
      </c>
      <c r="G42" s="102">
        <v>0.251</v>
      </c>
      <c r="H42" s="102">
        <v>0.61499999999999999</v>
      </c>
      <c r="I42" t="s">
        <v>1172</v>
      </c>
      <c r="J42" s="3" t="s">
        <v>33</v>
      </c>
      <c r="K42" t="s">
        <v>33</v>
      </c>
      <c r="L42" t="s">
        <v>33</v>
      </c>
      <c r="M42" t="s">
        <v>33</v>
      </c>
      <c r="N42" t="s">
        <v>33</v>
      </c>
      <c r="O42" t="s">
        <v>33</v>
      </c>
      <c r="P42" s="113" t="s">
        <v>833</v>
      </c>
      <c r="Q42" s="106" t="s">
        <v>1223</v>
      </c>
      <c r="R42" s="11">
        <v>75.400000000000006</v>
      </c>
    </row>
    <row r="43" spans="1:18" x14ac:dyDescent="0.2">
      <c r="A43" t="s">
        <v>125</v>
      </c>
      <c r="B43" t="s">
        <v>126</v>
      </c>
      <c r="C43" t="s">
        <v>54</v>
      </c>
      <c r="D43" t="s">
        <v>47</v>
      </c>
      <c r="E43" s="109" t="s">
        <v>127</v>
      </c>
      <c r="F43" s="102">
        <v>0.19900000000000001</v>
      </c>
      <c r="G43" s="102">
        <v>0.20300000000000001</v>
      </c>
      <c r="H43" s="102">
        <v>0.56499999999999995</v>
      </c>
      <c r="I43" t="s">
        <v>1185</v>
      </c>
      <c r="J43" s="3">
        <v>7.97</v>
      </c>
      <c r="K43">
        <v>9.58</v>
      </c>
      <c r="L43">
        <v>8.57</v>
      </c>
      <c r="M43">
        <v>4.4400000000000004</v>
      </c>
      <c r="N43">
        <v>8.1300000000000008</v>
      </c>
      <c r="O43">
        <v>9.1199999999999992</v>
      </c>
      <c r="P43" s="113" t="s">
        <v>834</v>
      </c>
      <c r="Q43" s="106" t="s">
        <v>1224</v>
      </c>
      <c r="R43" s="11">
        <v>58.4</v>
      </c>
    </row>
    <row r="44" spans="1:18" x14ac:dyDescent="0.2">
      <c r="A44" t="s">
        <v>127</v>
      </c>
      <c r="B44" t="s">
        <v>128</v>
      </c>
      <c r="C44" t="s">
        <v>44</v>
      </c>
      <c r="D44" t="s">
        <v>37</v>
      </c>
      <c r="E44" s="109" t="s">
        <v>129</v>
      </c>
      <c r="F44" s="102">
        <v>1.7999999999999999E-2</v>
      </c>
      <c r="G44" s="102">
        <v>0.27500000000000002</v>
      </c>
      <c r="H44" s="102">
        <v>0.63200000000000001</v>
      </c>
      <c r="I44" t="s">
        <v>1185</v>
      </c>
      <c r="J44" s="3">
        <v>3.32</v>
      </c>
      <c r="K44">
        <v>0</v>
      </c>
      <c r="L44">
        <v>5</v>
      </c>
      <c r="M44">
        <v>3.89</v>
      </c>
      <c r="N44">
        <v>6.25</v>
      </c>
      <c r="O44">
        <v>1.47</v>
      </c>
      <c r="P44" s="113" t="s">
        <v>831</v>
      </c>
      <c r="Q44" s="106" t="s">
        <v>1225</v>
      </c>
      <c r="R44" s="11">
        <v>67.3</v>
      </c>
    </row>
    <row r="45" spans="1:18" x14ac:dyDescent="0.2">
      <c r="A45" t="s">
        <v>129</v>
      </c>
      <c r="B45" t="s">
        <v>130</v>
      </c>
      <c r="C45" t="s">
        <v>54</v>
      </c>
      <c r="D45" t="s">
        <v>37</v>
      </c>
      <c r="E45" s="109" t="s">
        <v>131</v>
      </c>
      <c r="F45" s="102">
        <v>0.02</v>
      </c>
      <c r="G45" s="102">
        <v>0.15</v>
      </c>
      <c r="H45" s="102">
        <v>0.49199999999999999</v>
      </c>
      <c r="I45" t="s">
        <v>1177</v>
      </c>
      <c r="J45" s="3">
        <v>6.96</v>
      </c>
      <c r="K45">
        <v>9.17</v>
      </c>
      <c r="L45">
        <v>6.79</v>
      </c>
      <c r="M45">
        <v>5</v>
      </c>
      <c r="N45">
        <v>5.63</v>
      </c>
      <c r="O45">
        <v>8.24</v>
      </c>
      <c r="P45" s="113" t="s">
        <v>834</v>
      </c>
      <c r="Q45" s="106" t="s">
        <v>1226</v>
      </c>
      <c r="R45" s="11">
        <v>55.4</v>
      </c>
    </row>
    <row r="46" spans="1:18" x14ac:dyDescent="0.2">
      <c r="A46" t="s">
        <v>131</v>
      </c>
      <c r="B46" t="s">
        <v>132</v>
      </c>
      <c r="C46" t="s">
        <v>50</v>
      </c>
      <c r="D46" t="s">
        <v>32</v>
      </c>
      <c r="E46" s="109" t="s">
        <v>1542</v>
      </c>
      <c r="F46" s="102">
        <v>0.03</v>
      </c>
      <c r="G46" s="102">
        <v>0.105</v>
      </c>
      <c r="H46" s="102">
        <v>0.42899999999999999</v>
      </c>
      <c r="I46" t="s">
        <v>1185</v>
      </c>
      <c r="J46" s="3">
        <v>3.71</v>
      </c>
      <c r="K46">
        <v>4.33</v>
      </c>
      <c r="L46">
        <v>2.21</v>
      </c>
      <c r="M46">
        <v>4.4400000000000004</v>
      </c>
      <c r="N46">
        <v>3.75</v>
      </c>
      <c r="O46">
        <v>3.82</v>
      </c>
      <c r="P46" s="113" t="s">
        <v>831</v>
      </c>
      <c r="R46" s="11"/>
    </row>
    <row r="47" spans="1:18" x14ac:dyDescent="0.2">
      <c r="A47" t="s">
        <v>133</v>
      </c>
      <c r="B47" t="s">
        <v>134</v>
      </c>
      <c r="C47" t="s">
        <v>50</v>
      </c>
      <c r="D47" t="s">
        <v>32</v>
      </c>
      <c r="E47" s="109" t="s">
        <v>1543</v>
      </c>
      <c r="F47" s="102">
        <v>0.28799999999999998</v>
      </c>
      <c r="G47" s="102">
        <v>0.218</v>
      </c>
      <c r="H47" s="102">
        <v>0.57799999999999996</v>
      </c>
      <c r="I47" t="s">
        <v>1187</v>
      </c>
      <c r="J47" s="3">
        <v>1.49</v>
      </c>
      <c r="K47">
        <v>0.5</v>
      </c>
      <c r="L47">
        <v>0.71</v>
      </c>
      <c r="M47">
        <v>2.2200000000000002</v>
      </c>
      <c r="N47">
        <v>3.13</v>
      </c>
      <c r="O47">
        <v>0.88</v>
      </c>
      <c r="P47" s="113" t="s">
        <v>831</v>
      </c>
      <c r="Q47" s="106" t="s">
        <v>1227</v>
      </c>
      <c r="R47" s="11">
        <v>50.3</v>
      </c>
    </row>
    <row r="48" spans="1:18" x14ac:dyDescent="0.2">
      <c r="A48" t="s">
        <v>135</v>
      </c>
      <c r="B48" t="s">
        <v>136</v>
      </c>
      <c r="C48" t="s">
        <v>50</v>
      </c>
      <c r="D48" t="s">
        <v>51</v>
      </c>
      <c r="E48" s="109" t="s">
        <v>1544</v>
      </c>
      <c r="F48" s="102">
        <v>8.0000000000000002E-3</v>
      </c>
      <c r="G48" s="102">
        <v>0.501</v>
      </c>
      <c r="H48" s="102">
        <v>0.88700000000000001</v>
      </c>
      <c r="I48" t="s">
        <v>1173</v>
      </c>
      <c r="J48" s="3">
        <v>3.31</v>
      </c>
      <c r="K48">
        <v>3.17</v>
      </c>
      <c r="L48">
        <v>2.5</v>
      </c>
      <c r="M48">
        <v>3.89</v>
      </c>
      <c r="N48">
        <v>3.75</v>
      </c>
      <c r="O48">
        <v>3.24</v>
      </c>
      <c r="P48" s="113" t="s">
        <v>831</v>
      </c>
      <c r="R48" s="11"/>
    </row>
    <row r="49" spans="1:18" x14ac:dyDescent="0.2">
      <c r="A49" t="s">
        <v>137</v>
      </c>
      <c r="B49" t="s">
        <v>138</v>
      </c>
      <c r="C49" t="s">
        <v>54</v>
      </c>
      <c r="D49" t="s">
        <v>37</v>
      </c>
      <c r="E49" s="109" t="s">
        <v>137</v>
      </c>
      <c r="F49" s="102">
        <v>1.6E-2</v>
      </c>
      <c r="G49" s="102">
        <v>0.28199999999999997</v>
      </c>
      <c r="H49" s="102">
        <v>0.64500000000000002</v>
      </c>
      <c r="I49" t="s">
        <v>1172</v>
      </c>
      <c r="J49" s="3">
        <v>8.07</v>
      </c>
      <c r="K49">
        <v>9.58</v>
      </c>
      <c r="L49">
        <v>7.5</v>
      </c>
      <c r="M49">
        <v>6.67</v>
      </c>
      <c r="N49">
        <v>7.5</v>
      </c>
      <c r="O49">
        <v>9.1199999999999992</v>
      </c>
      <c r="P49" s="113" t="s">
        <v>835</v>
      </c>
      <c r="Q49" s="106" t="s">
        <v>1228</v>
      </c>
      <c r="R49" s="11">
        <v>65.3</v>
      </c>
    </row>
    <row r="50" spans="1:18" x14ac:dyDescent="0.2">
      <c r="A50" t="s">
        <v>139</v>
      </c>
      <c r="B50" t="s">
        <v>140</v>
      </c>
      <c r="C50" t="s">
        <v>50</v>
      </c>
      <c r="D50" t="s">
        <v>51</v>
      </c>
      <c r="E50" s="109" t="s">
        <v>1545</v>
      </c>
      <c r="F50" s="102">
        <v>0.26100000000000001</v>
      </c>
      <c r="G50" s="102">
        <v>0.22800000000000001</v>
      </c>
      <c r="H50" s="102">
        <v>0.59899999999999998</v>
      </c>
      <c r="I50" t="s">
        <v>1154</v>
      </c>
      <c r="J50" s="3">
        <v>4.1500000000000004</v>
      </c>
      <c r="K50">
        <v>4.83</v>
      </c>
      <c r="L50">
        <v>2.86</v>
      </c>
      <c r="M50">
        <v>3.33</v>
      </c>
      <c r="N50">
        <v>5.63</v>
      </c>
      <c r="O50">
        <v>4.12</v>
      </c>
      <c r="P50" s="113" t="s">
        <v>832</v>
      </c>
      <c r="Q50" s="106" t="s">
        <v>1229</v>
      </c>
      <c r="R50" s="11">
        <v>62.4</v>
      </c>
    </row>
    <row r="51" spans="1:18" x14ac:dyDescent="0.2">
      <c r="A51" t="s">
        <v>141</v>
      </c>
      <c r="B51" t="s">
        <v>142</v>
      </c>
      <c r="C51" t="s">
        <v>36</v>
      </c>
      <c r="D51" t="s">
        <v>47</v>
      </c>
      <c r="E51" s="109" t="s">
        <v>141</v>
      </c>
      <c r="F51" s="102">
        <v>0.24099999999999999</v>
      </c>
      <c r="G51" s="102">
        <v>0.35599999999999998</v>
      </c>
      <c r="H51" s="102">
        <v>0.755</v>
      </c>
      <c r="I51" t="s">
        <v>1173</v>
      </c>
      <c r="J51" s="3">
        <v>6.57</v>
      </c>
      <c r="K51">
        <v>9.17</v>
      </c>
      <c r="L51">
        <v>6.07</v>
      </c>
      <c r="M51">
        <v>5.56</v>
      </c>
      <c r="N51">
        <v>5</v>
      </c>
      <c r="O51">
        <v>7.06</v>
      </c>
      <c r="P51" s="113" t="s">
        <v>834</v>
      </c>
      <c r="Q51" s="106" t="s">
        <v>1230</v>
      </c>
      <c r="R51" s="11">
        <v>61.4</v>
      </c>
    </row>
    <row r="52" spans="1:18" x14ac:dyDescent="0.2">
      <c r="A52" t="s">
        <v>143</v>
      </c>
      <c r="B52" t="s">
        <v>144</v>
      </c>
      <c r="C52" t="s">
        <v>54</v>
      </c>
      <c r="D52" t="s">
        <v>37</v>
      </c>
      <c r="E52" s="109" t="s">
        <v>143</v>
      </c>
      <c r="F52" s="102">
        <v>0.20100000000000001</v>
      </c>
      <c r="G52" s="102">
        <v>0.26600000000000001</v>
      </c>
      <c r="H52" s="102">
        <v>0.623</v>
      </c>
      <c r="I52" t="s">
        <v>1154</v>
      </c>
      <c r="J52" s="3">
        <v>3</v>
      </c>
      <c r="K52">
        <v>1.08</v>
      </c>
      <c r="L52">
        <v>3.57</v>
      </c>
      <c r="M52">
        <v>3.33</v>
      </c>
      <c r="N52">
        <v>4.38</v>
      </c>
      <c r="O52">
        <v>2.65</v>
      </c>
      <c r="P52" s="113" t="s">
        <v>831</v>
      </c>
      <c r="Q52" s="106" t="s">
        <v>1231</v>
      </c>
      <c r="R52" s="11">
        <v>27.8</v>
      </c>
    </row>
    <row r="53" spans="1:18" x14ac:dyDescent="0.2">
      <c r="A53" t="s">
        <v>145</v>
      </c>
      <c r="B53" t="s">
        <v>146</v>
      </c>
      <c r="C53" t="s">
        <v>54</v>
      </c>
      <c r="D53" t="s">
        <v>47</v>
      </c>
      <c r="E53" s="109" t="s">
        <v>1546</v>
      </c>
      <c r="F53" s="102">
        <v>0.14199999999999999</v>
      </c>
      <c r="G53" s="102">
        <v>0.28799999999999998</v>
      </c>
      <c r="H53" s="102">
        <v>0.65900000000000003</v>
      </c>
      <c r="I53" t="s">
        <v>1172</v>
      </c>
      <c r="J53" s="3" t="s">
        <v>33</v>
      </c>
      <c r="K53" t="s">
        <v>33</v>
      </c>
      <c r="L53" t="s">
        <v>33</v>
      </c>
      <c r="M53" t="s">
        <v>33</v>
      </c>
      <c r="N53" t="s">
        <v>33</v>
      </c>
      <c r="O53" t="s">
        <v>33</v>
      </c>
      <c r="P53" s="113" t="s">
        <v>833</v>
      </c>
      <c r="R53" s="11"/>
    </row>
    <row r="54" spans="1:18" x14ac:dyDescent="0.2">
      <c r="A54" t="s">
        <v>147</v>
      </c>
      <c r="B54" t="s">
        <v>148</v>
      </c>
      <c r="C54" t="s">
        <v>36</v>
      </c>
      <c r="D54" t="s">
        <v>47</v>
      </c>
      <c r="E54" s="109" t="s">
        <v>147</v>
      </c>
      <c r="F54" s="102">
        <v>0.19700000000000001</v>
      </c>
      <c r="G54" s="102">
        <v>0.436</v>
      </c>
      <c r="H54" s="102">
        <v>0.84</v>
      </c>
      <c r="I54" t="s">
        <v>1173</v>
      </c>
      <c r="J54" s="3">
        <v>7.59</v>
      </c>
      <c r="K54">
        <v>9.17</v>
      </c>
      <c r="L54">
        <v>6.43</v>
      </c>
      <c r="M54">
        <v>6.67</v>
      </c>
      <c r="N54">
        <v>6.88</v>
      </c>
      <c r="O54">
        <v>8.82</v>
      </c>
      <c r="P54" s="113" t="s">
        <v>834</v>
      </c>
      <c r="Q54" s="106" t="s">
        <v>1232</v>
      </c>
      <c r="R54" s="11">
        <v>68.099999999999994</v>
      </c>
    </row>
    <row r="55" spans="1:18" x14ac:dyDescent="0.2">
      <c r="A55" t="s">
        <v>150</v>
      </c>
      <c r="B55" t="s">
        <v>151</v>
      </c>
      <c r="C55" t="s">
        <v>36</v>
      </c>
      <c r="D55" t="s">
        <v>47</v>
      </c>
      <c r="E55" s="109" t="s">
        <v>150</v>
      </c>
      <c r="F55" s="102">
        <v>7.0000000000000001E-3</v>
      </c>
      <c r="G55" s="102">
        <v>0.20200000000000001</v>
      </c>
      <c r="H55" s="102">
        <v>0.56399999999999995</v>
      </c>
      <c r="I55" s="10" t="s">
        <v>1185</v>
      </c>
      <c r="J55" s="3">
        <v>7.69</v>
      </c>
      <c r="K55">
        <v>9.58</v>
      </c>
      <c r="L55">
        <v>6.79</v>
      </c>
      <c r="M55">
        <v>6.67</v>
      </c>
      <c r="N55">
        <v>6.88</v>
      </c>
      <c r="O55">
        <v>8.5299999999999994</v>
      </c>
      <c r="P55" s="113" t="s">
        <v>834</v>
      </c>
      <c r="Q55" s="106" t="s">
        <v>1233</v>
      </c>
      <c r="R55" s="11">
        <v>73.7</v>
      </c>
    </row>
    <row r="56" spans="1:18" x14ac:dyDescent="0.2">
      <c r="A56" t="s">
        <v>152</v>
      </c>
      <c r="B56" t="s">
        <v>153</v>
      </c>
      <c r="C56" t="s">
        <v>36</v>
      </c>
      <c r="D56" t="s">
        <v>47</v>
      </c>
      <c r="E56" s="109" t="s">
        <v>152</v>
      </c>
      <c r="F56" s="102">
        <v>8.1000000000000003E-2</v>
      </c>
      <c r="G56" s="102">
        <v>0.40799999999999997</v>
      </c>
      <c r="H56" s="102">
        <v>0.82099999999999995</v>
      </c>
      <c r="I56" t="s">
        <v>1173</v>
      </c>
      <c r="J56" s="3">
        <v>9.2200000000000006</v>
      </c>
      <c r="K56">
        <v>10</v>
      </c>
      <c r="L56">
        <v>9.2899999999999991</v>
      </c>
      <c r="M56">
        <v>8.33</v>
      </c>
      <c r="N56">
        <v>9.3800000000000008</v>
      </c>
      <c r="O56">
        <v>9.1199999999999992</v>
      </c>
      <c r="P56" s="113" t="s">
        <v>835</v>
      </c>
      <c r="Q56" s="106" t="s">
        <v>1234</v>
      </c>
      <c r="R56" s="11">
        <v>76.7</v>
      </c>
    </row>
    <row r="57" spans="1:18" x14ac:dyDescent="0.2">
      <c r="A57" t="s">
        <v>154</v>
      </c>
      <c r="B57" t="s">
        <v>155</v>
      </c>
      <c r="C57" t="s">
        <v>40</v>
      </c>
      <c r="D57" t="s">
        <v>51</v>
      </c>
      <c r="E57" s="109" t="s">
        <v>154</v>
      </c>
      <c r="F57" s="102">
        <v>2.1999999999999999E-2</v>
      </c>
      <c r="G57" s="102">
        <v>0.221</v>
      </c>
      <c r="H57" s="102">
        <v>0.58299999999999996</v>
      </c>
      <c r="I57" t="s">
        <v>1154</v>
      </c>
      <c r="J57" s="3">
        <v>2.87</v>
      </c>
      <c r="K57">
        <v>0.42</v>
      </c>
      <c r="L57">
        <v>1.79</v>
      </c>
      <c r="M57">
        <v>3.89</v>
      </c>
      <c r="N57">
        <v>5.63</v>
      </c>
      <c r="O57">
        <v>2.65</v>
      </c>
      <c r="P57" s="113" t="s">
        <v>831</v>
      </c>
      <c r="Q57" s="106" t="s">
        <v>1235</v>
      </c>
      <c r="R57" s="11">
        <v>47.1</v>
      </c>
    </row>
    <row r="58" spans="1:18" x14ac:dyDescent="0.2">
      <c r="A58" t="s">
        <v>156</v>
      </c>
      <c r="B58" t="s">
        <v>157</v>
      </c>
      <c r="C58" t="s">
        <v>54</v>
      </c>
      <c r="D58" t="s">
        <v>37</v>
      </c>
      <c r="E58" s="109" t="s">
        <v>156</v>
      </c>
      <c r="F58" s="102">
        <v>7.8E-2</v>
      </c>
      <c r="G58" s="102">
        <v>0.30499999999999999</v>
      </c>
      <c r="H58" s="102">
        <v>0.68899999999999995</v>
      </c>
      <c r="I58" t="s">
        <v>1172</v>
      </c>
      <c r="J58" s="3" t="s">
        <v>33</v>
      </c>
      <c r="K58" t="s">
        <v>33</v>
      </c>
      <c r="L58" t="s">
        <v>33</v>
      </c>
      <c r="M58" t="s">
        <v>33</v>
      </c>
      <c r="N58" t="s">
        <v>33</v>
      </c>
      <c r="O58" t="s">
        <v>33</v>
      </c>
      <c r="P58" s="113" t="s">
        <v>833</v>
      </c>
      <c r="Q58" s="106" t="s">
        <v>1236</v>
      </c>
      <c r="R58" s="11">
        <v>63.6</v>
      </c>
    </row>
    <row r="59" spans="1:18" x14ac:dyDescent="0.2">
      <c r="A59" t="s">
        <v>158</v>
      </c>
      <c r="B59" t="s">
        <v>159</v>
      </c>
      <c r="C59" t="s">
        <v>54</v>
      </c>
      <c r="D59" t="s">
        <v>37</v>
      </c>
      <c r="E59" s="109" t="s">
        <v>158</v>
      </c>
      <c r="F59" s="102">
        <v>0.159</v>
      </c>
      <c r="G59" s="102">
        <v>0.10100000000000001</v>
      </c>
      <c r="H59" s="102">
        <v>0.42</v>
      </c>
      <c r="I59" t="s">
        <v>1154</v>
      </c>
      <c r="J59" s="3">
        <v>6.54</v>
      </c>
      <c r="K59">
        <v>9.17</v>
      </c>
      <c r="L59">
        <v>5.36</v>
      </c>
      <c r="M59">
        <v>6.11</v>
      </c>
      <c r="N59">
        <v>5</v>
      </c>
      <c r="O59">
        <v>7.06</v>
      </c>
      <c r="P59" s="113" t="s">
        <v>834</v>
      </c>
      <c r="Q59" s="106" t="s">
        <v>1237</v>
      </c>
      <c r="R59" s="11">
        <v>61</v>
      </c>
    </row>
    <row r="60" spans="1:18" x14ac:dyDescent="0.2">
      <c r="A60" t="s">
        <v>160</v>
      </c>
      <c r="B60" t="s">
        <v>161</v>
      </c>
      <c r="C60" t="s">
        <v>54</v>
      </c>
      <c r="D60" t="s">
        <v>37</v>
      </c>
      <c r="E60" s="109" t="s">
        <v>160</v>
      </c>
      <c r="F60" s="102">
        <v>2.3E-2</v>
      </c>
      <c r="G60" s="102">
        <v>0.33700000000000002</v>
      </c>
      <c r="H60" s="102">
        <v>0.73899999999999999</v>
      </c>
      <c r="I60" t="s">
        <v>1172</v>
      </c>
      <c r="J60" s="3">
        <v>6.27</v>
      </c>
      <c r="K60">
        <v>8.75</v>
      </c>
      <c r="L60">
        <v>5.36</v>
      </c>
      <c r="M60">
        <v>6.11</v>
      </c>
      <c r="N60">
        <v>4.38</v>
      </c>
      <c r="O60">
        <v>6.76</v>
      </c>
      <c r="P60" s="113" t="s">
        <v>834</v>
      </c>
      <c r="Q60" s="106" t="s">
        <v>1238</v>
      </c>
      <c r="R60" s="11">
        <v>46.9</v>
      </c>
    </row>
    <row r="61" spans="1:18" x14ac:dyDescent="0.2">
      <c r="A61" t="s">
        <v>162</v>
      </c>
      <c r="B61" t="s">
        <v>163</v>
      </c>
      <c r="C61" t="s">
        <v>40</v>
      </c>
      <c r="D61" t="s">
        <v>51</v>
      </c>
      <c r="E61" s="109" t="s">
        <v>1547</v>
      </c>
      <c r="F61" s="102">
        <v>0.31</v>
      </c>
      <c r="G61" s="102">
        <v>0.23899999999999999</v>
      </c>
      <c r="H61" s="102">
        <v>0.60799999999999998</v>
      </c>
      <c r="I61" t="s">
        <v>1172</v>
      </c>
      <c r="J61" s="3">
        <v>3.36</v>
      </c>
      <c r="K61">
        <v>3.58</v>
      </c>
      <c r="L61">
        <v>3.21</v>
      </c>
      <c r="M61">
        <v>3.33</v>
      </c>
      <c r="N61">
        <v>3.75</v>
      </c>
      <c r="O61">
        <v>2.94</v>
      </c>
      <c r="P61" s="113" t="s">
        <v>831</v>
      </c>
      <c r="Q61" s="106" t="s">
        <v>1239</v>
      </c>
      <c r="R61" s="11">
        <v>52.5</v>
      </c>
    </row>
    <row r="62" spans="1:18" x14ac:dyDescent="0.2">
      <c r="A62" t="s">
        <v>164</v>
      </c>
      <c r="B62" t="s">
        <v>165</v>
      </c>
      <c r="C62" t="s">
        <v>54</v>
      </c>
      <c r="D62" t="s">
        <v>51</v>
      </c>
      <c r="E62" s="109" t="s">
        <v>164</v>
      </c>
      <c r="F62" s="102">
        <v>0.41599999999999998</v>
      </c>
      <c r="G62" s="102">
        <v>0.19500000000000001</v>
      </c>
      <c r="H62" s="102">
        <v>0.55600000000000005</v>
      </c>
      <c r="I62" t="s">
        <v>1154</v>
      </c>
      <c r="J62" s="3">
        <v>5.96</v>
      </c>
      <c r="K62">
        <v>9.17</v>
      </c>
      <c r="L62">
        <v>4.29</v>
      </c>
      <c r="M62">
        <v>5.56</v>
      </c>
      <c r="N62">
        <v>3.75</v>
      </c>
      <c r="O62">
        <v>7.06</v>
      </c>
      <c r="P62" s="113" t="s">
        <v>832</v>
      </c>
      <c r="Q62" s="106" t="s">
        <v>1240</v>
      </c>
      <c r="R62" s="11">
        <v>61.8</v>
      </c>
    </row>
    <row r="63" spans="1:18" x14ac:dyDescent="0.2">
      <c r="A63" t="s">
        <v>166</v>
      </c>
      <c r="B63" t="s">
        <v>167</v>
      </c>
      <c r="C63" t="s">
        <v>50</v>
      </c>
      <c r="D63" t="s">
        <v>37</v>
      </c>
      <c r="E63" s="109" t="s">
        <v>166</v>
      </c>
      <c r="F63" s="102">
        <v>4.3999999999999997E-2</v>
      </c>
      <c r="G63" s="102">
        <v>9.9000000000000005E-2</v>
      </c>
      <c r="H63" s="102">
        <v>0.40799999999999997</v>
      </c>
      <c r="I63" t="s">
        <v>1187</v>
      </c>
      <c r="J63" s="3">
        <v>1.92</v>
      </c>
      <c r="K63">
        <v>0</v>
      </c>
      <c r="L63">
        <v>0.43</v>
      </c>
      <c r="M63">
        <v>3.33</v>
      </c>
      <c r="N63">
        <v>4.38</v>
      </c>
      <c r="O63">
        <v>1.47</v>
      </c>
      <c r="P63" s="113" t="s">
        <v>831</v>
      </c>
      <c r="Q63" s="106" t="s">
        <v>1241</v>
      </c>
      <c r="R63" s="11">
        <v>41</v>
      </c>
    </row>
    <row r="64" spans="1:18" x14ac:dyDescent="0.2">
      <c r="A64" t="s">
        <v>168</v>
      </c>
      <c r="B64" t="s">
        <v>169</v>
      </c>
      <c r="C64" t="s">
        <v>50</v>
      </c>
      <c r="D64" t="s">
        <v>32</v>
      </c>
      <c r="E64" s="109" t="s">
        <v>168</v>
      </c>
      <c r="F64" s="102">
        <v>0.41799999999999998</v>
      </c>
      <c r="G64" s="102">
        <v>0.18099999999999999</v>
      </c>
      <c r="H64" s="102">
        <v>0.54</v>
      </c>
      <c r="I64" t="s">
        <v>1154</v>
      </c>
      <c r="J64" s="3">
        <v>2.37</v>
      </c>
      <c r="K64">
        <v>0</v>
      </c>
      <c r="L64">
        <v>2.14</v>
      </c>
      <c r="M64">
        <v>1.67</v>
      </c>
      <c r="N64">
        <v>6.88</v>
      </c>
      <c r="O64">
        <v>1.18</v>
      </c>
      <c r="P64" s="113" t="s">
        <v>831</v>
      </c>
      <c r="Q64" s="106" t="s">
        <v>1242</v>
      </c>
      <c r="R64" s="11">
        <v>38.9</v>
      </c>
    </row>
    <row r="65" spans="1:18" x14ac:dyDescent="0.2">
      <c r="A65" t="s">
        <v>170</v>
      </c>
      <c r="B65" t="s">
        <v>171</v>
      </c>
      <c r="C65" t="s">
        <v>36</v>
      </c>
      <c r="D65" t="s">
        <v>47</v>
      </c>
      <c r="E65" s="109" t="s">
        <v>170</v>
      </c>
      <c r="F65" s="102">
        <v>4.4999999999999998E-2</v>
      </c>
      <c r="G65" s="102">
        <v>0.28799999999999998</v>
      </c>
      <c r="H65" s="102">
        <v>0.66</v>
      </c>
      <c r="I65" t="s">
        <v>1172</v>
      </c>
      <c r="J65" s="3">
        <v>7.97</v>
      </c>
      <c r="K65">
        <v>9.58</v>
      </c>
      <c r="L65">
        <v>8.2100000000000009</v>
      </c>
      <c r="M65">
        <v>6.67</v>
      </c>
      <c r="N65">
        <v>6.88</v>
      </c>
      <c r="O65">
        <v>8.5299999999999994</v>
      </c>
      <c r="P65" s="113" t="s">
        <v>834</v>
      </c>
      <c r="Q65" s="106" t="s">
        <v>1243</v>
      </c>
      <c r="R65" s="11">
        <v>76.599999999999994</v>
      </c>
    </row>
    <row r="66" spans="1:18" x14ac:dyDescent="0.2">
      <c r="A66" t="s">
        <v>172</v>
      </c>
      <c r="B66" t="s">
        <v>173</v>
      </c>
      <c r="C66" t="s">
        <v>50</v>
      </c>
      <c r="D66" t="s">
        <v>32</v>
      </c>
      <c r="E66" s="109" t="s">
        <v>172</v>
      </c>
      <c r="F66" s="102">
        <v>0.11700000000000001</v>
      </c>
      <c r="G66" s="102">
        <v>0.34300000000000003</v>
      </c>
      <c r="H66" s="102">
        <v>0.74099999999999999</v>
      </c>
      <c r="I66" t="s">
        <v>1172</v>
      </c>
      <c r="J66" s="3">
        <v>3.35</v>
      </c>
      <c r="K66">
        <v>0</v>
      </c>
      <c r="L66">
        <v>3.57</v>
      </c>
      <c r="M66">
        <v>5.56</v>
      </c>
      <c r="N66">
        <v>5</v>
      </c>
      <c r="O66">
        <v>2.65</v>
      </c>
      <c r="P66" s="113" t="s">
        <v>831</v>
      </c>
      <c r="Q66" s="106" t="s">
        <v>1244</v>
      </c>
      <c r="R66" s="11">
        <v>53.6</v>
      </c>
    </row>
    <row r="67" spans="1:18" x14ac:dyDescent="0.2">
      <c r="A67" t="s">
        <v>174</v>
      </c>
      <c r="B67" t="s">
        <v>175</v>
      </c>
      <c r="C67" t="s">
        <v>36</v>
      </c>
      <c r="D67" t="s">
        <v>47</v>
      </c>
      <c r="E67" s="109" t="s">
        <v>174</v>
      </c>
      <c r="F67" s="102">
        <v>0.02</v>
      </c>
      <c r="G67" s="102">
        <v>0.02</v>
      </c>
      <c r="H67" s="102">
        <v>0.29899999999999999</v>
      </c>
      <c r="I67" t="s">
        <v>1154</v>
      </c>
      <c r="J67" s="3" t="s">
        <v>33</v>
      </c>
      <c r="K67" t="s">
        <v>33</v>
      </c>
      <c r="L67" t="s">
        <v>33</v>
      </c>
      <c r="M67" t="s">
        <v>33</v>
      </c>
      <c r="N67" t="s">
        <v>33</v>
      </c>
      <c r="O67" t="s">
        <v>33</v>
      </c>
      <c r="P67" s="113" t="s">
        <v>833</v>
      </c>
      <c r="R67" s="11"/>
    </row>
    <row r="68" spans="1:18" x14ac:dyDescent="0.2">
      <c r="A68" t="s">
        <v>176</v>
      </c>
      <c r="B68" t="s">
        <v>177</v>
      </c>
      <c r="C68" t="s">
        <v>44</v>
      </c>
      <c r="D68" t="s">
        <v>37</v>
      </c>
      <c r="E68" s="109" t="s">
        <v>176</v>
      </c>
      <c r="F68" s="102">
        <v>0.16900000000000001</v>
      </c>
      <c r="G68" s="102">
        <v>0.24299999999999999</v>
      </c>
      <c r="H68" s="102">
        <v>0.60799999999999998</v>
      </c>
      <c r="I68" t="s">
        <v>1154</v>
      </c>
      <c r="J68" s="3">
        <v>5.85</v>
      </c>
      <c r="K68">
        <v>6.58</v>
      </c>
      <c r="L68">
        <v>5.36</v>
      </c>
      <c r="M68">
        <v>6.11</v>
      </c>
      <c r="N68">
        <v>5.63</v>
      </c>
      <c r="O68">
        <v>5.59</v>
      </c>
      <c r="P68" s="113" t="s">
        <v>832</v>
      </c>
      <c r="Q68" s="106" t="s">
        <v>1245</v>
      </c>
      <c r="R68" s="11">
        <v>62.2</v>
      </c>
    </row>
    <row r="69" spans="1:18" x14ac:dyDescent="0.2">
      <c r="A69" t="s">
        <v>178</v>
      </c>
      <c r="B69" t="s">
        <v>179</v>
      </c>
      <c r="C69" t="s">
        <v>36</v>
      </c>
      <c r="D69" t="s">
        <v>47</v>
      </c>
      <c r="E69" s="109" t="s">
        <v>178</v>
      </c>
      <c r="F69" s="102">
        <v>0</v>
      </c>
      <c r="G69" s="102">
        <v>6.3E-2</v>
      </c>
      <c r="H69" s="102">
        <v>0.34399999999999997</v>
      </c>
      <c r="I69" t="s">
        <v>1177</v>
      </c>
      <c r="J69" s="3">
        <v>9.14</v>
      </c>
      <c r="K69">
        <v>10</v>
      </c>
      <c r="L69">
        <v>8.93</v>
      </c>
      <c r="M69">
        <v>8.33</v>
      </c>
      <c r="N69">
        <v>8.75</v>
      </c>
      <c r="O69">
        <v>9.7100000000000009</v>
      </c>
      <c r="P69" s="113" t="s">
        <v>835</v>
      </c>
      <c r="Q69" s="106" t="s">
        <v>1246</v>
      </c>
      <c r="R69" s="11">
        <v>74.900000000000006</v>
      </c>
    </row>
    <row r="70" spans="1:18" x14ac:dyDescent="0.2">
      <c r="A70" t="s">
        <v>180</v>
      </c>
      <c r="B70" t="s">
        <v>181</v>
      </c>
      <c r="C70" t="s">
        <v>36</v>
      </c>
      <c r="D70" t="s">
        <v>47</v>
      </c>
      <c r="E70" s="109" t="s">
        <v>180</v>
      </c>
      <c r="F70" s="102">
        <v>3.5000000000000003E-2</v>
      </c>
      <c r="G70" s="102">
        <v>0.29399999999999998</v>
      </c>
      <c r="H70" s="102">
        <v>0.67500000000000004</v>
      </c>
      <c r="I70" t="s">
        <v>1172</v>
      </c>
      <c r="J70" s="3">
        <v>7.8</v>
      </c>
      <c r="K70">
        <v>9.58</v>
      </c>
      <c r="L70">
        <v>7.5</v>
      </c>
      <c r="M70">
        <v>7.78</v>
      </c>
      <c r="N70">
        <v>5.63</v>
      </c>
      <c r="O70">
        <v>8.5299999999999994</v>
      </c>
      <c r="P70" s="113" t="s">
        <v>835</v>
      </c>
      <c r="Q70" s="106" t="s">
        <v>1247</v>
      </c>
      <c r="R70" s="11">
        <v>63.8</v>
      </c>
    </row>
    <row r="71" spans="1:18" x14ac:dyDescent="0.2">
      <c r="A71" t="s">
        <v>182</v>
      </c>
      <c r="B71" t="s">
        <v>183</v>
      </c>
      <c r="C71" t="s">
        <v>44</v>
      </c>
      <c r="D71" t="s">
        <v>47</v>
      </c>
      <c r="E71" s="109" t="s">
        <v>182</v>
      </c>
      <c r="F71" s="102">
        <v>0.13300000000000001</v>
      </c>
      <c r="G71" s="102">
        <v>0.23400000000000001</v>
      </c>
      <c r="H71" s="102">
        <v>0.60199999999999998</v>
      </c>
      <c r="I71" t="s">
        <v>1154</v>
      </c>
      <c r="J71" s="3" t="s">
        <v>33</v>
      </c>
      <c r="K71" t="s">
        <v>33</v>
      </c>
      <c r="L71" t="s">
        <v>33</v>
      </c>
      <c r="M71" t="s">
        <v>33</v>
      </c>
      <c r="N71" t="s">
        <v>33</v>
      </c>
      <c r="O71" t="s">
        <v>33</v>
      </c>
      <c r="P71" s="113" t="s">
        <v>833</v>
      </c>
      <c r="R71" s="11"/>
    </row>
    <row r="72" spans="1:18" x14ac:dyDescent="0.2">
      <c r="A72" t="s">
        <v>184</v>
      </c>
      <c r="B72" t="s">
        <v>185</v>
      </c>
      <c r="C72" t="s">
        <v>50</v>
      </c>
      <c r="D72" t="s">
        <v>37</v>
      </c>
      <c r="E72" s="109" t="s">
        <v>184</v>
      </c>
      <c r="F72" s="102">
        <v>1.6E-2</v>
      </c>
      <c r="G72" s="102">
        <v>0.17899999999999999</v>
      </c>
      <c r="H72" s="102">
        <v>0.56000000000000005</v>
      </c>
      <c r="I72" t="s">
        <v>1185</v>
      </c>
      <c r="J72" s="3">
        <v>3.61</v>
      </c>
      <c r="K72">
        <v>2.58</v>
      </c>
      <c r="L72">
        <v>2.21</v>
      </c>
      <c r="M72">
        <v>4.4400000000000004</v>
      </c>
      <c r="N72">
        <v>5</v>
      </c>
      <c r="O72">
        <v>3.82</v>
      </c>
      <c r="P72" s="113" t="s">
        <v>831</v>
      </c>
      <c r="Q72" s="106" t="s">
        <v>1248</v>
      </c>
      <c r="R72" s="11">
        <v>56.3</v>
      </c>
    </row>
    <row r="73" spans="1:18" x14ac:dyDescent="0.2">
      <c r="A73" t="s">
        <v>186</v>
      </c>
      <c r="B73" t="s">
        <v>187</v>
      </c>
      <c r="C73" t="s">
        <v>50</v>
      </c>
      <c r="D73" t="s">
        <v>32</v>
      </c>
      <c r="E73" s="109" t="s">
        <v>186</v>
      </c>
      <c r="F73" s="102">
        <v>3.5999999999999997E-2</v>
      </c>
      <c r="G73" s="102">
        <v>0.31900000000000001</v>
      </c>
      <c r="H73" s="102">
        <v>0.70199999999999996</v>
      </c>
      <c r="I73" t="s">
        <v>1172</v>
      </c>
      <c r="J73" s="3">
        <v>4.3099999999999996</v>
      </c>
      <c r="K73">
        <v>4.4800000000000004</v>
      </c>
      <c r="L73">
        <v>4.29</v>
      </c>
      <c r="M73">
        <v>3.33</v>
      </c>
      <c r="N73">
        <v>5.63</v>
      </c>
      <c r="O73">
        <v>3.82</v>
      </c>
      <c r="P73" s="113" t="s">
        <v>832</v>
      </c>
      <c r="Q73" s="106" t="s">
        <v>1249</v>
      </c>
      <c r="R73" s="11">
        <v>52.4</v>
      </c>
    </row>
    <row r="74" spans="1:18" x14ac:dyDescent="0.2">
      <c r="A74" t="s">
        <v>188</v>
      </c>
      <c r="B74" t="s">
        <v>189</v>
      </c>
      <c r="C74" t="s">
        <v>36</v>
      </c>
      <c r="D74" t="s">
        <v>51</v>
      </c>
      <c r="E74" s="109" t="s">
        <v>188</v>
      </c>
      <c r="F74" s="102">
        <v>0.2</v>
      </c>
      <c r="G74" s="102">
        <v>0.19500000000000001</v>
      </c>
      <c r="H74" s="102">
        <v>0.54900000000000004</v>
      </c>
      <c r="I74" t="s">
        <v>1154</v>
      </c>
      <c r="J74" s="3">
        <v>5.5</v>
      </c>
      <c r="K74">
        <v>7.83</v>
      </c>
      <c r="L74">
        <v>3.57</v>
      </c>
      <c r="M74">
        <v>6.11</v>
      </c>
      <c r="N74">
        <v>4.38</v>
      </c>
      <c r="O74">
        <v>5.59</v>
      </c>
      <c r="P74" s="113" t="s">
        <v>832</v>
      </c>
      <c r="Q74" s="106" t="s">
        <v>1250</v>
      </c>
      <c r="R74" s="11">
        <v>75.900000000000006</v>
      </c>
    </row>
    <row r="75" spans="1:18" x14ac:dyDescent="0.2">
      <c r="A75" t="s">
        <v>190</v>
      </c>
      <c r="B75" t="s">
        <v>191</v>
      </c>
      <c r="C75" t="s">
        <v>36</v>
      </c>
      <c r="D75" t="s">
        <v>47</v>
      </c>
      <c r="E75" s="109" t="s">
        <v>190</v>
      </c>
      <c r="F75" s="102">
        <v>0.5</v>
      </c>
      <c r="G75" s="102">
        <v>0.13100000000000001</v>
      </c>
      <c r="H75" s="102">
        <v>0.47399999999999998</v>
      </c>
      <c r="I75" t="s">
        <v>1185</v>
      </c>
      <c r="J75" s="3">
        <v>8.68</v>
      </c>
      <c r="K75">
        <v>9.58</v>
      </c>
      <c r="L75">
        <v>8.57</v>
      </c>
      <c r="M75">
        <v>8.33</v>
      </c>
      <c r="N75">
        <v>7.5</v>
      </c>
      <c r="O75">
        <v>9.41</v>
      </c>
      <c r="P75" s="113" t="s">
        <v>835</v>
      </c>
      <c r="Q75" s="106" t="s">
        <v>1251</v>
      </c>
      <c r="R75" s="11">
        <v>73.5</v>
      </c>
    </row>
    <row r="76" spans="1:18" x14ac:dyDescent="0.2">
      <c r="A76" t="s">
        <v>192</v>
      </c>
      <c r="B76" t="s">
        <v>193</v>
      </c>
      <c r="C76" t="s">
        <v>50</v>
      </c>
      <c r="D76" t="s">
        <v>51</v>
      </c>
      <c r="E76" s="109" t="s">
        <v>192</v>
      </c>
      <c r="F76" s="102">
        <v>0.27800000000000002</v>
      </c>
      <c r="G76" s="102">
        <v>0.29299999999999998</v>
      </c>
      <c r="H76" s="102">
        <v>0.67</v>
      </c>
      <c r="I76" t="s">
        <v>1172</v>
      </c>
      <c r="J76" s="3">
        <v>6.63</v>
      </c>
      <c r="K76">
        <v>8.33</v>
      </c>
      <c r="L76">
        <v>5.71</v>
      </c>
      <c r="M76">
        <v>6.67</v>
      </c>
      <c r="N76">
        <v>6.25</v>
      </c>
      <c r="O76">
        <v>6.18</v>
      </c>
      <c r="P76" s="113" t="s">
        <v>834</v>
      </c>
      <c r="Q76" s="106" t="s">
        <v>1252</v>
      </c>
      <c r="R76" s="11">
        <v>57.5</v>
      </c>
    </row>
    <row r="77" spans="1:18" x14ac:dyDescent="0.2">
      <c r="A77" t="s">
        <v>194</v>
      </c>
      <c r="B77" t="s">
        <v>195</v>
      </c>
      <c r="C77" t="s">
        <v>36</v>
      </c>
      <c r="D77" t="s">
        <v>47</v>
      </c>
      <c r="E77" s="109" t="s">
        <v>194</v>
      </c>
      <c r="F77" s="102">
        <v>7.4999999999999997E-2</v>
      </c>
      <c r="G77" s="102">
        <v>0.35299999999999998</v>
      </c>
      <c r="H77" s="102">
        <v>0.752</v>
      </c>
      <c r="I77" t="s">
        <v>1173</v>
      </c>
      <c r="J77" s="3" t="s">
        <v>33</v>
      </c>
      <c r="K77" t="s">
        <v>33</v>
      </c>
      <c r="L77" t="s">
        <v>33</v>
      </c>
      <c r="M77" t="s">
        <v>33</v>
      </c>
      <c r="N77" t="s">
        <v>33</v>
      </c>
      <c r="O77" t="s">
        <v>33</v>
      </c>
      <c r="P77" s="105" t="s">
        <v>833</v>
      </c>
      <c r="R77" s="11"/>
    </row>
    <row r="78" spans="1:18" x14ac:dyDescent="0.2">
      <c r="A78" t="s">
        <v>196</v>
      </c>
      <c r="B78" t="s">
        <v>197</v>
      </c>
      <c r="C78" t="s">
        <v>36</v>
      </c>
      <c r="D78" t="s">
        <v>47</v>
      </c>
      <c r="E78" s="109" t="s">
        <v>196</v>
      </c>
      <c r="F78" s="102">
        <v>1.7999999999999999E-2</v>
      </c>
      <c r="G78" s="102">
        <v>0.36</v>
      </c>
      <c r="H78" s="102">
        <v>0.75700000000000001</v>
      </c>
      <c r="I78" t="s">
        <v>1173</v>
      </c>
      <c r="J78" s="3">
        <v>7.29</v>
      </c>
      <c r="K78">
        <v>9.58</v>
      </c>
      <c r="L78">
        <v>5.36</v>
      </c>
      <c r="M78">
        <v>6.11</v>
      </c>
      <c r="N78">
        <v>6.88</v>
      </c>
      <c r="O78">
        <v>8.5299999999999994</v>
      </c>
      <c r="P78" s="113" t="s">
        <v>834</v>
      </c>
      <c r="Q78" s="106" t="s">
        <v>1253</v>
      </c>
      <c r="R78" s="11">
        <v>57.7</v>
      </c>
    </row>
    <row r="79" spans="1:18" x14ac:dyDescent="0.2">
      <c r="A79" t="s">
        <v>198</v>
      </c>
      <c r="B79" t="s">
        <v>199</v>
      </c>
      <c r="C79" t="s">
        <v>36</v>
      </c>
      <c r="D79" t="s">
        <v>47</v>
      </c>
      <c r="E79" s="109" t="s">
        <v>198</v>
      </c>
      <c r="F79" s="102">
        <v>0.153</v>
      </c>
      <c r="G79" s="102">
        <v>0.33300000000000002</v>
      </c>
      <c r="H79" s="102">
        <v>0.73699999999999999</v>
      </c>
      <c r="I79" t="s">
        <v>1172</v>
      </c>
      <c r="J79" s="3" t="s">
        <v>33</v>
      </c>
      <c r="K79" t="s">
        <v>33</v>
      </c>
      <c r="L79" t="s">
        <v>33</v>
      </c>
      <c r="M79" t="s">
        <v>33</v>
      </c>
      <c r="N79" t="s">
        <v>33</v>
      </c>
      <c r="O79" t="s">
        <v>33</v>
      </c>
      <c r="P79" s="113" t="s">
        <v>833</v>
      </c>
      <c r="R79" s="11"/>
    </row>
    <row r="80" spans="1:18" x14ac:dyDescent="0.2">
      <c r="A80" t="s">
        <v>200</v>
      </c>
      <c r="B80" t="s">
        <v>201</v>
      </c>
      <c r="C80" t="s">
        <v>54</v>
      </c>
      <c r="D80" t="s">
        <v>37</v>
      </c>
      <c r="E80" s="109" t="s">
        <v>200</v>
      </c>
      <c r="F80" s="102">
        <v>4.7E-2</v>
      </c>
      <c r="G80" s="102">
        <v>0.32400000000000001</v>
      </c>
      <c r="H80" s="102">
        <v>0.70599999999999996</v>
      </c>
      <c r="I80" t="s">
        <v>1172</v>
      </c>
      <c r="J80" s="3" t="s">
        <v>33</v>
      </c>
      <c r="K80" t="s">
        <v>33</v>
      </c>
      <c r="L80" t="s">
        <v>33</v>
      </c>
      <c r="M80" t="s">
        <v>33</v>
      </c>
      <c r="N80" t="s">
        <v>33</v>
      </c>
      <c r="O80" t="s">
        <v>33</v>
      </c>
      <c r="P80" s="113" t="s">
        <v>833</v>
      </c>
      <c r="R80" s="11"/>
    </row>
    <row r="81" spans="1:18" x14ac:dyDescent="0.2">
      <c r="A81" t="s">
        <v>202</v>
      </c>
      <c r="B81" t="s">
        <v>203</v>
      </c>
      <c r="C81" t="s">
        <v>44</v>
      </c>
      <c r="D81" t="s">
        <v>47</v>
      </c>
      <c r="E81" s="109" t="s">
        <v>204</v>
      </c>
      <c r="F81" s="102">
        <v>6.0999999999999999E-2</v>
      </c>
      <c r="G81" s="102">
        <v>0.33</v>
      </c>
      <c r="H81" s="102">
        <v>0.72799999999999998</v>
      </c>
      <c r="I81" t="s">
        <v>1172</v>
      </c>
      <c r="J81" s="3" t="s">
        <v>33</v>
      </c>
      <c r="K81" t="s">
        <v>33</v>
      </c>
      <c r="L81" t="s">
        <v>33</v>
      </c>
      <c r="M81" t="s">
        <v>33</v>
      </c>
      <c r="N81" t="s">
        <v>33</v>
      </c>
      <c r="O81" t="s">
        <v>33</v>
      </c>
      <c r="P81" s="113" t="s">
        <v>833</v>
      </c>
      <c r="R81" s="11"/>
    </row>
    <row r="82" spans="1:18" x14ac:dyDescent="0.2">
      <c r="A82" t="s">
        <v>204</v>
      </c>
      <c r="B82" t="s">
        <v>205</v>
      </c>
      <c r="C82" t="s">
        <v>54</v>
      </c>
      <c r="D82" t="s">
        <v>37</v>
      </c>
      <c r="E82" s="109" t="s">
        <v>1548</v>
      </c>
      <c r="F82" s="102">
        <v>1.0999999999999999E-2</v>
      </c>
      <c r="G82" s="102">
        <v>0.30099999999999999</v>
      </c>
      <c r="H82" s="102">
        <v>0.68600000000000005</v>
      </c>
      <c r="I82" t="s">
        <v>1172</v>
      </c>
      <c r="J82" s="3">
        <v>5.6</v>
      </c>
      <c r="K82">
        <v>7.92</v>
      </c>
      <c r="L82">
        <v>5.36</v>
      </c>
      <c r="M82">
        <v>3.89</v>
      </c>
      <c r="N82">
        <v>4.38</v>
      </c>
      <c r="O82">
        <v>6.47</v>
      </c>
      <c r="P82" s="113" t="s">
        <v>832</v>
      </c>
      <c r="Q82" s="106" t="s">
        <v>1254</v>
      </c>
      <c r="R82" s="11">
        <v>62.6</v>
      </c>
    </row>
    <row r="83" spans="1:18" x14ac:dyDescent="0.2">
      <c r="A83" t="s">
        <v>206</v>
      </c>
      <c r="B83" t="s">
        <v>207</v>
      </c>
      <c r="C83" t="s">
        <v>50</v>
      </c>
      <c r="D83" t="s">
        <v>32</v>
      </c>
      <c r="E83" s="109" t="s">
        <v>206</v>
      </c>
      <c r="F83" s="102">
        <v>0.221</v>
      </c>
      <c r="G83" s="102">
        <v>0.20300000000000001</v>
      </c>
      <c r="H83" s="102">
        <v>0.56499999999999995</v>
      </c>
      <c r="I83" t="s">
        <v>1185</v>
      </c>
      <c r="J83" s="3">
        <v>3.14</v>
      </c>
      <c r="K83">
        <v>3.5</v>
      </c>
      <c r="L83">
        <v>0.43</v>
      </c>
      <c r="M83">
        <v>4.4400000000000004</v>
      </c>
      <c r="N83">
        <v>4.38</v>
      </c>
      <c r="O83">
        <v>2.94</v>
      </c>
      <c r="P83" s="113" t="s">
        <v>831</v>
      </c>
      <c r="Q83" s="106" t="s">
        <v>1255</v>
      </c>
      <c r="R83" s="11">
        <v>55.7</v>
      </c>
    </row>
    <row r="84" spans="1:18" x14ac:dyDescent="0.2">
      <c r="A84" t="s">
        <v>208</v>
      </c>
      <c r="B84" t="s">
        <v>209</v>
      </c>
      <c r="C84" t="s">
        <v>50</v>
      </c>
      <c r="D84" t="s">
        <v>32</v>
      </c>
      <c r="E84" s="109" t="s">
        <v>208</v>
      </c>
      <c r="F84" s="102">
        <v>8.2000000000000003E-2</v>
      </c>
      <c r="G84" s="102">
        <v>0.36199999999999999</v>
      </c>
      <c r="H84" s="102">
        <v>0.75800000000000001</v>
      </c>
      <c r="I84" t="s">
        <v>1173</v>
      </c>
      <c r="J84" s="3">
        <v>1.98</v>
      </c>
      <c r="K84">
        <v>1.67</v>
      </c>
      <c r="L84">
        <v>0</v>
      </c>
      <c r="M84">
        <v>2.78</v>
      </c>
      <c r="N84">
        <v>3.13</v>
      </c>
      <c r="O84">
        <v>2.35</v>
      </c>
      <c r="P84" s="113" t="s">
        <v>831</v>
      </c>
      <c r="Q84" s="106" t="s">
        <v>1256</v>
      </c>
      <c r="R84" s="11">
        <v>54</v>
      </c>
    </row>
    <row r="85" spans="1:18" x14ac:dyDescent="0.2">
      <c r="A85" t="s">
        <v>210</v>
      </c>
      <c r="B85" t="s">
        <v>211</v>
      </c>
      <c r="C85" t="s">
        <v>54</v>
      </c>
      <c r="D85" t="s">
        <v>37</v>
      </c>
      <c r="E85" s="109" t="s">
        <v>210</v>
      </c>
      <c r="F85" s="102">
        <v>9.2999999999999999E-2</v>
      </c>
      <c r="G85" s="102">
        <v>0.51</v>
      </c>
      <c r="H85" s="102">
        <v>0.90300000000000002</v>
      </c>
      <c r="I85" t="s">
        <v>1173</v>
      </c>
      <c r="J85" s="3">
        <v>6.67</v>
      </c>
      <c r="K85">
        <v>9.17</v>
      </c>
      <c r="L85">
        <v>5.71</v>
      </c>
      <c r="M85">
        <v>6.11</v>
      </c>
      <c r="N85">
        <v>5</v>
      </c>
      <c r="O85">
        <v>7.35</v>
      </c>
      <c r="P85" s="113" t="s">
        <v>834</v>
      </c>
      <c r="Q85" s="106" t="s">
        <v>1257</v>
      </c>
      <c r="R85" s="11">
        <v>56.8</v>
      </c>
    </row>
    <row r="86" spans="1:18" x14ac:dyDescent="0.2">
      <c r="A86" t="s">
        <v>212</v>
      </c>
      <c r="B86" t="s">
        <v>213</v>
      </c>
      <c r="C86" t="s">
        <v>54</v>
      </c>
      <c r="D86" t="s">
        <v>32</v>
      </c>
      <c r="E86" s="109" t="s">
        <v>212</v>
      </c>
      <c r="F86" s="102">
        <v>0.14199999999999999</v>
      </c>
      <c r="G86" s="102">
        <v>0.29299999999999998</v>
      </c>
      <c r="H86" s="102">
        <v>0.67200000000000004</v>
      </c>
      <c r="I86" t="s">
        <v>1172</v>
      </c>
      <c r="J86" s="3">
        <v>4.91</v>
      </c>
      <c r="K86">
        <v>5.58</v>
      </c>
      <c r="L86">
        <v>2.93</v>
      </c>
      <c r="M86">
        <v>3.89</v>
      </c>
      <c r="N86">
        <v>6.25</v>
      </c>
      <c r="O86">
        <v>5.88</v>
      </c>
      <c r="P86" s="113" t="s">
        <v>832</v>
      </c>
      <c r="Q86" s="106" t="s">
        <v>1258</v>
      </c>
      <c r="R86" s="11">
        <v>52.7</v>
      </c>
    </row>
    <row r="87" spans="1:18" x14ac:dyDescent="0.2">
      <c r="A87" t="s">
        <v>214</v>
      </c>
      <c r="B87" t="s">
        <v>215</v>
      </c>
      <c r="C87" t="s">
        <v>54</v>
      </c>
      <c r="D87" t="s">
        <v>51</v>
      </c>
      <c r="E87" s="109" t="s">
        <v>214</v>
      </c>
      <c r="F87" s="102">
        <v>0.12</v>
      </c>
      <c r="G87" s="102">
        <v>0.27700000000000002</v>
      </c>
      <c r="H87" s="102">
        <v>0.63800000000000001</v>
      </c>
      <c r="I87" t="s">
        <v>1185</v>
      </c>
      <c r="J87" s="3">
        <v>5.63</v>
      </c>
      <c r="K87">
        <v>8.5</v>
      </c>
      <c r="L87">
        <v>4.6399999999999997</v>
      </c>
      <c r="M87">
        <v>4.4400000000000004</v>
      </c>
      <c r="N87">
        <v>4.38</v>
      </c>
      <c r="O87">
        <v>6.18</v>
      </c>
      <c r="P87" s="113" t="s">
        <v>832</v>
      </c>
      <c r="Q87" s="106" t="s">
        <v>1259</v>
      </c>
      <c r="R87" s="11">
        <v>60.2</v>
      </c>
    </row>
    <row r="88" spans="1:18" x14ac:dyDescent="0.2">
      <c r="A88" t="s">
        <v>216</v>
      </c>
      <c r="B88" t="s">
        <v>217</v>
      </c>
      <c r="C88" t="s">
        <v>44</v>
      </c>
      <c r="D88" t="s">
        <v>47</v>
      </c>
      <c r="E88" s="109" t="s">
        <v>890</v>
      </c>
      <c r="F88" s="102">
        <v>2.4E-2</v>
      </c>
      <c r="G88" s="102">
        <v>0.17299999999999999</v>
      </c>
      <c r="H88" s="102">
        <v>0.51700000000000002</v>
      </c>
      <c r="I88" t="s">
        <v>1154</v>
      </c>
      <c r="J88" s="3">
        <v>6.15</v>
      </c>
      <c r="K88">
        <v>3.08</v>
      </c>
      <c r="L88">
        <v>6.07</v>
      </c>
      <c r="M88">
        <v>5.56</v>
      </c>
      <c r="N88">
        <v>7.5</v>
      </c>
      <c r="O88">
        <v>8.5299999999999994</v>
      </c>
      <c r="P88" s="113" t="s">
        <v>834</v>
      </c>
      <c r="Q88" s="106" t="s">
        <v>1260</v>
      </c>
      <c r="R88" s="11">
        <v>90.2</v>
      </c>
    </row>
    <row r="89" spans="1:18" x14ac:dyDescent="0.2">
      <c r="A89" t="s">
        <v>218</v>
      </c>
      <c r="B89" t="s">
        <v>219</v>
      </c>
      <c r="C89" t="s">
        <v>36</v>
      </c>
      <c r="D89" t="s">
        <v>47</v>
      </c>
      <c r="E89" s="109" t="s">
        <v>218</v>
      </c>
      <c r="F89" s="102">
        <v>0</v>
      </c>
      <c r="G89" s="102">
        <v>0.14000000000000001</v>
      </c>
      <c r="H89" s="102">
        <v>0.48199999999999998</v>
      </c>
      <c r="I89" t="s">
        <v>1154</v>
      </c>
      <c r="J89" s="3">
        <v>6.63</v>
      </c>
      <c r="K89">
        <v>8.75</v>
      </c>
      <c r="L89">
        <v>6.07</v>
      </c>
      <c r="M89">
        <v>5</v>
      </c>
      <c r="N89">
        <v>6.25</v>
      </c>
      <c r="O89">
        <v>7.06</v>
      </c>
      <c r="P89" s="113" t="s">
        <v>834</v>
      </c>
      <c r="Q89" s="106" t="s">
        <v>1261</v>
      </c>
      <c r="R89" s="11">
        <v>65</v>
      </c>
    </row>
    <row r="90" spans="1:18" x14ac:dyDescent="0.2">
      <c r="A90" t="s">
        <v>220</v>
      </c>
      <c r="B90" t="s">
        <v>221</v>
      </c>
      <c r="C90" t="s">
        <v>36</v>
      </c>
      <c r="D90" t="s">
        <v>47</v>
      </c>
      <c r="E90" s="109" t="s">
        <v>220</v>
      </c>
      <c r="F90" s="102">
        <v>2.4E-2</v>
      </c>
      <c r="G90" s="102">
        <v>0.40200000000000002</v>
      </c>
      <c r="H90" s="102">
        <v>0.81</v>
      </c>
      <c r="I90" t="s">
        <v>1173</v>
      </c>
      <c r="J90" s="3">
        <v>9.58</v>
      </c>
      <c r="K90">
        <v>10</v>
      </c>
      <c r="L90">
        <v>9.2899999999999991</v>
      </c>
      <c r="M90">
        <v>8.89</v>
      </c>
      <c r="N90">
        <v>10</v>
      </c>
      <c r="O90">
        <v>9.7100000000000009</v>
      </c>
      <c r="P90" s="113" t="s">
        <v>835</v>
      </c>
      <c r="Q90" s="106" t="s">
        <v>1262</v>
      </c>
      <c r="R90" s="11">
        <v>77.099999999999994</v>
      </c>
    </row>
    <row r="91" spans="1:18" x14ac:dyDescent="0.2">
      <c r="A91" t="s">
        <v>222</v>
      </c>
      <c r="B91" t="s">
        <v>223</v>
      </c>
      <c r="C91" t="s">
        <v>31</v>
      </c>
      <c r="D91" t="s">
        <v>51</v>
      </c>
      <c r="E91" s="109" t="s">
        <v>222</v>
      </c>
      <c r="F91" s="102">
        <v>0.17899999999999999</v>
      </c>
      <c r="G91" s="102">
        <v>0.33700000000000002</v>
      </c>
      <c r="H91" s="102">
        <v>0.73899999999999999</v>
      </c>
      <c r="I91" t="s">
        <v>1172</v>
      </c>
      <c r="J91" s="3">
        <v>7.23</v>
      </c>
      <c r="K91">
        <v>9.17</v>
      </c>
      <c r="L91">
        <v>6.79</v>
      </c>
      <c r="M91">
        <v>7.22</v>
      </c>
      <c r="N91">
        <v>5.63</v>
      </c>
      <c r="O91">
        <v>7.35</v>
      </c>
      <c r="P91" s="113" t="s">
        <v>835</v>
      </c>
      <c r="Q91" s="106" t="s">
        <v>1263</v>
      </c>
      <c r="R91" s="11">
        <v>55.2</v>
      </c>
    </row>
    <row r="92" spans="1:18" x14ac:dyDescent="0.2">
      <c r="A92" t="s">
        <v>224</v>
      </c>
      <c r="B92" t="s">
        <v>225</v>
      </c>
      <c r="C92" t="s">
        <v>44</v>
      </c>
      <c r="D92" t="s">
        <v>51</v>
      </c>
      <c r="E92" s="109" t="s">
        <v>224</v>
      </c>
      <c r="F92" s="102">
        <v>7.4999999999999997E-2</v>
      </c>
      <c r="G92" s="102">
        <v>0.159</v>
      </c>
      <c r="H92" s="102">
        <v>0.51100000000000001</v>
      </c>
      <c r="I92" t="s">
        <v>1185</v>
      </c>
      <c r="J92" s="3">
        <v>6.39</v>
      </c>
      <c r="K92">
        <v>6.92</v>
      </c>
      <c r="L92">
        <v>7.14</v>
      </c>
      <c r="M92">
        <v>6.67</v>
      </c>
      <c r="N92">
        <v>5.63</v>
      </c>
      <c r="O92">
        <v>5.59</v>
      </c>
      <c r="P92" s="113" t="s">
        <v>834</v>
      </c>
      <c r="Q92" s="106" t="s">
        <v>1264</v>
      </c>
      <c r="R92" s="11">
        <v>65.8</v>
      </c>
    </row>
    <row r="93" spans="1:18" x14ac:dyDescent="0.2">
      <c r="A93" t="s">
        <v>226</v>
      </c>
      <c r="B93" t="s">
        <v>227</v>
      </c>
      <c r="C93" t="s">
        <v>40</v>
      </c>
      <c r="D93" t="s">
        <v>37</v>
      </c>
      <c r="E93" s="109" t="s">
        <v>1169</v>
      </c>
      <c r="F93" s="102">
        <v>6.8000000000000005E-2</v>
      </c>
      <c r="G93" s="102">
        <v>0.155</v>
      </c>
      <c r="H93" s="102">
        <v>0.495</v>
      </c>
      <c r="I93" s="10" t="s">
        <v>1185</v>
      </c>
      <c r="J93" s="3">
        <v>2.4500000000000002</v>
      </c>
      <c r="K93">
        <v>0</v>
      </c>
      <c r="L93">
        <v>3.21</v>
      </c>
      <c r="M93">
        <v>4.4400000000000004</v>
      </c>
      <c r="N93">
        <v>3.13</v>
      </c>
      <c r="O93">
        <v>1.47</v>
      </c>
      <c r="P93" s="113" t="s">
        <v>831</v>
      </c>
      <c r="Q93" s="106" t="s">
        <v>1265</v>
      </c>
      <c r="R93" s="11">
        <v>51.1</v>
      </c>
    </row>
    <row r="94" spans="1:18" x14ac:dyDescent="0.2">
      <c r="A94" t="s">
        <v>228</v>
      </c>
      <c r="B94" t="s">
        <v>229</v>
      </c>
      <c r="C94" t="s">
        <v>40</v>
      </c>
      <c r="D94" t="s">
        <v>37</v>
      </c>
      <c r="E94" s="109" t="s">
        <v>228</v>
      </c>
      <c r="F94" s="102">
        <v>0.27400000000000002</v>
      </c>
      <c r="G94" s="102">
        <v>0.124</v>
      </c>
      <c r="H94" s="102">
        <v>0.442</v>
      </c>
      <c r="I94" t="s">
        <v>1185</v>
      </c>
      <c r="J94" s="3">
        <v>4.0599999999999996</v>
      </c>
      <c r="K94">
        <v>4.75</v>
      </c>
      <c r="L94">
        <v>7.0000000000000007E-2</v>
      </c>
      <c r="M94">
        <v>6.67</v>
      </c>
      <c r="N94">
        <v>5</v>
      </c>
      <c r="O94">
        <v>3.82</v>
      </c>
      <c r="P94" s="113" t="s">
        <v>832</v>
      </c>
      <c r="R94" s="11"/>
    </row>
    <row r="95" spans="1:18" x14ac:dyDescent="0.2">
      <c r="A95" t="s">
        <v>230</v>
      </c>
      <c r="B95" t="s">
        <v>231</v>
      </c>
      <c r="C95" t="s">
        <v>36</v>
      </c>
      <c r="D95" t="s">
        <v>47</v>
      </c>
      <c r="E95" s="109" t="s">
        <v>230</v>
      </c>
      <c r="F95" s="102">
        <v>0.16700000000000001</v>
      </c>
      <c r="G95" s="102">
        <v>0.28199999999999997</v>
      </c>
      <c r="H95" s="102">
        <v>0.65100000000000002</v>
      </c>
      <c r="I95" t="s">
        <v>1172</v>
      </c>
      <c r="J95" s="3">
        <v>9.15</v>
      </c>
      <c r="K95">
        <v>9.58</v>
      </c>
      <c r="L95">
        <v>7.86</v>
      </c>
      <c r="M95">
        <v>8.33</v>
      </c>
      <c r="N95">
        <v>10</v>
      </c>
      <c r="O95">
        <v>10</v>
      </c>
      <c r="P95" s="113" t="s">
        <v>835</v>
      </c>
      <c r="Q95" s="106" t="s">
        <v>1266</v>
      </c>
      <c r="R95" s="11">
        <v>80.5</v>
      </c>
    </row>
    <row r="96" spans="1:18" x14ac:dyDescent="0.2">
      <c r="A96" t="s">
        <v>232</v>
      </c>
      <c r="B96" t="s">
        <v>233</v>
      </c>
      <c r="C96" t="s">
        <v>36</v>
      </c>
      <c r="D96" t="s">
        <v>47</v>
      </c>
      <c r="E96" s="109" t="s">
        <v>232</v>
      </c>
      <c r="F96" s="102">
        <v>1.0999999999999999E-2</v>
      </c>
      <c r="G96" s="102">
        <v>0.10199999999999999</v>
      </c>
      <c r="H96" s="102">
        <v>0.42299999999999999</v>
      </c>
      <c r="I96" t="s">
        <v>1177</v>
      </c>
      <c r="J96" s="3" t="s">
        <v>33</v>
      </c>
      <c r="K96" t="s">
        <v>33</v>
      </c>
      <c r="L96" t="s">
        <v>33</v>
      </c>
      <c r="M96" t="s">
        <v>33</v>
      </c>
      <c r="N96" t="s">
        <v>33</v>
      </c>
      <c r="O96" t="s">
        <v>33</v>
      </c>
      <c r="P96" s="113" t="s">
        <v>833</v>
      </c>
      <c r="R96" s="11"/>
    </row>
    <row r="97" spans="1:18" x14ac:dyDescent="0.2">
      <c r="A97" t="s">
        <v>234</v>
      </c>
      <c r="B97" t="s">
        <v>235</v>
      </c>
      <c r="C97" t="s">
        <v>40</v>
      </c>
      <c r="D97" t="s">
        <v>47</v>
      </c>
      <c r="E97" s="109" t="s">
        <v>234</v>
      </c>
      <c r="F97" s="102">
        <v>0.10100000000000001</v>
      </c>
      <c r="G97" s="102">
        <v>0.26200000000000001</v>
      </c>
      <c r="H97" s="102">
        <v>0.61699999999999999</v>
      </c>
      <c r="I97" t="s">
        <v>1172</v>
      </c>
      <c r="J97" s="3">
        <v>7.79</v>
      </c>
      <c r="K97">
        <v>9.17</v>
      </c>
      <c r="L97">
        <v>7.5</v>
      </c>
      <c r="M97">
        <v>8.89</v>
      </c>
      <c r="N97">
        <v>7.5</v>
      </c>
      <c r="O97">
        <v>5.88</v>
      </c>
      <c r="P97" s="113" t="s">
        <v>834</v>
      </c>
      <c r="Q97" s="106" t="s">
        <v>1267</v>
      </c>
      <c r="R97" s="11">
        <v>72.8</v>
      </c>
    </row>
    <row r="98" spans="1:18" x14ac:dyDescent="0.2">
      <c r="A98" t="s">
        <v>236</v>
      </c>
      <c r="B98" t="s">
        <v>237</v>
      </c>
      <c r="C98" t="s">
        <v>36</v>
      </c>
      <c r="D98" t="s">
        <v>47</v>
      </c>
      <c r="E98" s="109" t="s">
        <v>236</v>
      </c>
      <c r="F98" s="102">
        <v>1.9E-2</v>
      </c>
      <c r="G98" s="102">
        <v>7.8E-2</v>
      </c>
      <c r="H98" s="102">
        <v>0.40400000000000003</v>
      </c>
      <c r="I98" t="s">
        <v>1177</v>
      </c>
      <c r="J98" s="3">
        <v>7.71</v>
      </c>
      <c r="K98">
        <v>9.58</v>
      </c>
      <c r="L98">
        <v>6.07</v>
      </c>
      <c r="M98">
        <v>7.78</v>
      </c>
      <c r="N98">
        <v>6.88</v>
      </c>
      <c r="O98">
        <v>8.24</v>
      </c>
      <c r="P98" s="113" t="s">
        <v>834</v>
      </c>
      <c r="Q98" s="106" t="s">
        <v>1268</v>
      </c>
      <c r="R98" s="11">
        <v>62.2</v>
      </c>
    </row>
    <row r="99" spans="1:18" x14ac:dyDescent="0.2">
      <c r="A99" t="s">
        <v>238</v>
      </c>
      <c r="B99" t="s">
        <v>239</v>
      </c>
      <c r="C99" t="s">
        <v>54</v>
      </c>
      <c r="D99" t="s">
        <v>37</v>
      </c>
      <c r="E99" s="109" t="s">
        <v>238</v>
      </c>
      <c r="F99" s="102">
        <v>0.11899999999999999</v>
      </c>
      <c r="G99" s="102">
        <v>0.33600000000000002</v>
      </c>
      <c r="H99" s="102">
        <v>0.73699999999999999</v>
      </c>
      <c r="I99" t="s">
        <v>1172</v>
      </c>
      <c r="J99" s="3">
        <v>7.02</v>
      </c>
      <c r="K99">
        <v>8.75</v>
      </c>
      <c r="L99">
        <v>7.14</v>
      </c>
      <c r="M99">
        <v>4.4400000000000004</v>
      </c>
      <c r="N99">
        <v>6.25</v>
      </c>
      <c r="O99">
        <v>8.5299999999999994</v>
      </c>
      <c r="P99" s="113" t="s">
        <v>834</v>
      </c>
      <c r="Q99" s="106" t="s">
        <v>1269</v>
      </c>
      <c r="R99" s="11">
        <v>68.599999999999994</v>
      </c>
    </row>
    <row r="100" spans="1:18" x14ac:dyDescent="0.2">
      <c r="A100" t="s">
        <v>240</v>
      </c>
      <c r="B100" t="s">
        <v>241</v>
      </c>
      <c r="C100" t="s">
        <v>44</v>
      </c>
      <c r="D100" t="s">
        <v>47</v>
      </c>
      <c r="E100" s="109" t="s">
        <v>240</v>
      </c>
      <c r="F100" s="102">
        <v>0.23400000000000001</v>
      </c>
      <c r="G100" s="102">
        <v>0.28599999999999998</v>
      </c>
      <c r="H100" s="102">
        <v>0.65800000000000003</v>
      </c>
      <c r="I100" t="s">
        <v>1172</v>
      </c>
      <c r="J100" s="3">
        <v>7.99</v>
      </c>
      <c r="K100">
        <v>8.75</v>
      </c>
      <c r="L100">
        <v>8.2100000000000009</v>
      </c>
      <c r="M100">
        <v>6.67</v>
      </c>
      <c r="N100">
        <v>7.5</v>
      </c>
      <c r="O100">
        <v>8.82</v>
      </c>
      <c r="P100" s="113" t="s">
        <v>835</v>
      </c>
      <c r="Q100" s="106" t="s">
        <v>1270</v>
      </c>
      <c r="R100" s="11">
        <v>72.099999999999994</v>
      </c>
    </row>
    <row r="101" spans="1:18" x14ac:dyDescent="0.2">
      <c r="A101" t="s">
        <v>242</v>
      </c>
      <c r="B101" t="s">
        <v>243</v>
      </c>
      <c r="C101" t="s">
        <v>40</v>
      </c>
      <c r="D101" t="s">
        <v>37</v>
      </c>
      <c r="E101" s="109" t="s">
        <v>242</v>
      </c>
      <c r="F101" s="102">
        <v>0</v>
      </c>
      <c r="G101" s="102">
        <v>0</v>
      </c>
      <c r="H101" s="102">
        <v>0.28399999999999997</v>
      </c>
      <c r="I101" t="s">
        <v>1177</v>
      </c>
      <c r="J101" s="3">
        <v>3.93</v>
      </c>
      <c r="K101">
        <v>3.58</v>
      </c>
      <c r="L101">
        <v>4.29</v>
      </c>
      <c r="M101">
        <v>3.89</v>
      </c>
      <c r="N101">
        <v>4.38</v>
      </c>
      <c r="O101">
        <v>3.53</v>
      </c>
      <c r="P101" s="113" t="s">
        <v>831</v>
      </c>
      <c r="Q101" s="106" t="s">
        <v>1271</v>
      </c>
      <c r="R101" s="11">
        <v>66.5</v>
      </c>
    </row>
    <row r="102" spans="1:18" x14ac:dyDescent="0.2">
      <c r="A102" t="s">
        <v>244</v>
      </c>
      <c r="B102" t="s">
        <v>245</v>
      </c>
      <c r="C102" t="s">
        <v>36</v>
      </c>
      <c r="D102" t="s">
        <v>37</v>
      </c>
      <c r="E102" s="109" t="s">
        <v>244</v>
      </c>
      <c r="F102" s="102">
        <v>2.5000000000000001E-2</v>
      </c>
      <c r="G102" s="102">
        <v>0.13800000000000001</v>
      </c>
      <c r="H102" s="102">
        <v>0.48099999999999998</v>
      </c>
      <c r="I102" s="10" t="s">
        <v>1185</v>
      </c>
      <c r="J102" s="3">
        <v>2.94</v>
      </c>
      <c r="K102">
        <v>0.5</v>
      </c>
      <c r="L102">
        <v>2.14</v>
      </c>
      <c r="M102">
        <v>4.4400000000000004</v>
      </c>
      <c r="N102">
        <v>4.38</v>
      </c>
      <c r="O102">
        <v>3.24</v>
      </c>
      <c r="P102" s="113" t="s">
        <v>831</v>
      </c>
      <c r="Q102" s="106" t="s">
        <v>1272</v>
      </c>
      <c r="R102" s="11">
        <v>65.400000000000006</v>
      </c>
    </row>
    <row r="103" spans="1:18" x14ac:dyDescent="0.2">
      <c r="A103" t="s">
        <v>246</v>
      </c>
      <c r="B103" t="s">
        <v>247</v>
      </c>
      <c r="C103" t="s">
        <v>50</v>
      </c>
      <c r="D103" t="s">
        <v>51</v>
      </c>
      <c r="E103" s="109" t="s">
        <v>246</v>
      </c>
      <c r="F103" s="102">
        <v>0.34799999999999998</v>
      </c>
      <c r="G103" s="102">
        <v>0.216</v>
      </c>
      <c r="H103" s="102">
        <v>0.57399999999999995</v>
      </c>
      <c r="I103" t="s">
        <v>1154</v>
      </c>
      <c r="J103" s="3">
        <v>5.1100000000000003</v>
      </c>
      <c r="K103">
        <v>3.5</v>
      </c>
      <c r="L103">
        <v>5.36</v>
      </c>
      <c r="M103">
        <v>6.67</v>
      </c>
      <c r="N103">
        <v>5.63</v>
      </c>
      <c r="O103">
        <v>4.41</v>
      </c>
      <c r="P103" s="113" t="s">
        <v>832</v>
      </c>
      <c r="Q103" s="106" t="s">
        <v>1273</v>
      </c>
      <c r="R103" s="11">
        <v>55.1</v>
      </c>
    </row>
    <row r="104" spans="1:18" x14ac:dyDescent="0.2">
      <c r="A104" t="s">
        <v>249</v>
      </c>
      <c r="B104" t="s">
        <v>250</v>
      </c>
      <c r="C104" t="s">
        <v>44</v>
      </c>
      <c r="D104" t="s">
        <v>51</v>
      </c>
      <c r="E104" s="109" t="s">
        <v>249</v>
      </c>
      <c r="F104" s="102">
        <v>4.7E-2</v>
      </c>
      <c r="G104" s="102">
        <v>0.40400000000000003</v>
      </c>
      <c r="H104" s="102">
        <v>0.81299999999999994</v>
      </c>
      <c r="I104" t="s">
        <v>1173</v>
      </c>
      <c r="J104" s="3" t="s">
        <v>33</v>
      </c>
      <c r="K104" t="s">
        <v>33</v>
      </c>
      <c r="L104" t="s">
        <v>33</v>
      </c>
      <c r="M104" t="s">
        <v>33</v>
      </c>
      <c r="N104" t="s">
        <v>33</v>
      </c>
      <c r="O104" t="s">
        <v>33</v>
      </c>
      <c r="P104" s="113" t="s">
        <v>833</v>
      </c>
      <c r="Q104" s="106" t="s">
        <v>1274</v>
      </c>
      <c r="R104" s="11">
        <v>47.3</v>
      </c>
    </row>
    <row r="105" spans="1:18" x14ac:dyDescent="0.2">
      <c r="A105" t="s">
        <v>251</v>
      </c>
      <c r="B105" t="s">
        <v>252</v>
      </c>
      <c r="C105" t="s">
        <v>44</v>
      </c>
      <c r="D105" t="s">
        <v>32</v>
      </c>
      <c r="E105" s="109" t="s">
        <v>1549</v>
      </c>
      <c r="F105" s="102">
        <v>0.02</v>
      </c>
      <c r="G105" s="102">
        <v>0.125</v>
      </c>
      <c r="H105" s="102">
        <v>0.44900000000000001</v>
      </c>
      <c r="I105" t="s">
        <v>1185</v>
      </c>
      <c r="J105" s="3">
        <v>1.08</v>
      </c>
      <c r="K105">
        <v>0</v>
      </c>
      <c r="L105">
        <v>2.5</v>
      </c>
      <c r="M105">
        <v>1.67</v>
      </c>
      <c r="N105">
        <v>1.25</v>
      </c>
      <c r="O105">
        <v>0</v>
      </c>
      <c r="P105" s="113" t="s">
        <v>831</v>
      </c>
      <c r="Q105" s="106" t="s">
        <v>1275</v>
      </c>
      <c r="R105" s="11">
        <v>5.9</v>
      </c>
    </row>
    <row r="106" spans="1:18" x14ac:dyDescent="0.2">
      <c r="A106" t="s">
        <v>253</v>
      </c>
      <c r="B106" t="s">
        <v>254</v>
      </c>
      <c r="C106" t="s">
        <v>44</v>
      </c>
      <c r="D106" t="s">
        <v>47</v>
      </c>
      <c r="E106" s="109" t="s">
        <v>1550</v>
      </c>
      <c r="F106" s="102">
        <v>0.17699999999999999</v>
      </c>
      <c r="G106" s="102">
        <v>0.20300000000000001</v>
      </c>
      <c r="H106" s="102">
        <v>0.56399999999999995</v>
      </c>
      <c r="I106" s="10" t="s">
        <v>1185</v>
      </c>
      <c r="J106" s="3">
        <v>8</v>
      </c>
      <c r="K106">
        <v>9.17</v>
      </c>
      <c r="L106">
        <v>7.86</v>
      </c>
      <c r="M106">
        <v>7.22</v>
      </c>
      <c r="N106">
        <v>7.5</v>
      </c>
      <c r="O106">
        <v>8.24</v>
      </c>
      <c r="P106" s="113" t="s">
        <v>836</v>
      </c>
      <c r="Q106" s="106" t="s">
        <v>1276</v>
      </c>
      <c r="R106" s="11">
        <v>72.3</v>
      </c>
    </row>
    <row r="107" spans="1:18" x14ac:dyDescent="0.2">
      <c r="A107" t="s">
        <v>255</v>
      </c>
      <c r="B107" t="s">
        <v>256</v>
      </c>
      <c r="C107" t="s">
        <v>36</v>
      </c>
      <c r="D107" t="s">
        <v>51</v>
      </c>
      <c r="E107" s="109" t="s">
        <v>255</v>
      </c>
      <c r="F107" s="102">
        <v>7.9000000000000001E-2</v>
      </c>
      <c r="G107" s="102">
        <v>0.40500000000000003</v>
      </c>
      <c r="H107" s="102">
        <v>0.82</v>
      </c>
      <c r="I107" t="s">
        <v>1173</v>
      </c>
      <c r="J107" s="3" t="s">
        <v>33</v>
      </c>
      <c r="K107" t="s">
        <v>33</v>
      </c>
      <c r="L107" t="s">
        <v>33</v>
      </c>
      <c r="M107" t="s">
        <v>33</v>
      </c>
      <c r="N107" t="s">
        <v>33</v>
      </c>
      <c r="O107" t="s">
        <v>33</v>
      </c>
      <c r="P107" s="113" t="s">
        <v>833</v>
      </c>
      <c r="Q107" s="106" t="s">
        <v>1277</v>
      </c>
      <c r="R107" s="11">
        <v>67</v>
      </c>
    </row>
    <row r="108" spans="1:18" x14ac:dyDescent="0.2">
      <c r="A108" t="s">
        <v>257</v>
      </c>
      <c r="B108" t="s">
        <v>258</v>
      </c>
      <c r="C108" t="s">
        <v>40</v>
      </c>
      <c r="D108" t="s">
        <v>47</v>
      </c>
      <c r="E108" s="109" t="s">
        <v>257</v>
      </c>
      <c r="F108" s="102">
        <v>0.39600000000000002</v>
      </c>
      <c r="G108" s="102">
        <v>2.5999999999999999E-2</v>
      </c>
      <c r="H108" s="102">
        <v>0.32500000000000001</v>
      </c>
      <c r="I108" t="s">
        <v>1171</v>
      </c>
      <c r="J108" s="3">
        <v>3.85</v>
      </c>
      <c r="K108">
        <v>3.17</v>
      </c>
      <c r="L108">
        <v>4.29</v>
      </c>
      <c r="M108">
        <v>3.89</v>
      </c>
      <c r="N108">
        <v>4.38</v>
      </c>
      <c r="O108">
        <v>3.53</v>
      </c>
      <c r="P108" s="113" t="s">
        <v>831</v>
      </c>
      <c r="Q108" s="106" t="s">
        <v>1278</v>
      </c>
      <c r="R108" s="11">
        <v>60.8</v>
      </c>
    </row>
    <row r="109" spans="1:18" x14ac:dyDescent="0.2">
      <c r="A109" t="s">
        <v>259</v>
      </c>
      <c r="B109" t="s">
        <v>260</v>
      </c>
      <c r="C109" t="s">
        <v>36</v>
      </c>
      <c r="D109" t="s">
        <v>51</v>
      </c>
      <c r="E109" s="109" t="s">
        <v>1551</v>
      </c>
      <c r="F109" s="102">
        <v>0.223</v>
      </c>
      <c r="G109" s="102">
        <v>0.126</v>
      </c>
      <c r="H109" s="102">
        <v>0.45400000000000001</v>
      </c>
      <c r="I109" t="s">
        <v>1154</v>
      </c>
      <c r="J109" s="3">
        <v>5.1100000000000003</v>
      </c>
      <c r="K109">
        <v>6.58</v>
      </c>
      <c r="L109">
        <v>2.93</v>
      </c>
      <c r="M109">
        <v>6.67</v>
      </c>
      <c r="N109">
        <v>4.38</v>
      </c>
      <c r="O109">
        <v>5</v>
      </c>
      <c r="P109" s="113" t="s">
        <v>832</v>
      </c>
      <c r="Q109" s="106" t="s">
        <v>1279</v>
      </c>
      <c r="R109" s="11">
        <v>62.3</v>
      </c>
    </row>
    <row r="110" spans="1:18" x14ac:dyDescent="0.2">
      <c r="A110" t="s">
        <v>261</v>
      </c>
      <c r="B110" t="s">
        <v>262</v>
      </c>
      <c r="C110" t="s">
        <v>44</v>
      </c>
      <c r="D110" t="s">
        <v>51</v>
      </c>
      <c r="E110" s="109" t="s">
        <v>1552</v>
      </c>
      <c r="F110" s="102">
        <v>3.6999999999999998E-2</v>
      </c>
      <c r="G110" s="102">
        <v>0.26200000000000001</v>
      </c>
      <c r="H110" s="102">
        <v>0.62</v>
      </c>
      <c r="I110" t="s">
        <v>1172</v>
      </c>
      <c r="J110" s="3">
        <v>2.37</v>
      </c>
      <c r="K110">
        <v>0.83</v>
      </c>
      <c r="L110">
        <v>2.86</v>
      </c>
      <c r="M110">
        <v>1.67</v>
      </c>
      <c r="N110">
        <v>5</v>
      </c>
      <c r="O110">
        <v>1.47</v>
      </c>
      <c r="P110" s="113" t="s">
        <v>831</v>
      </c>
      <c r="Q110" s="106" t="s">
        <v>1280</v>
      </c>
      <c r="R110" s="11">
        <v>57.4</v>
      </c>
    </row>
    <row r="111" spans="1:18" x14ac:dyDescent="0.2">
      <c r="A111" t="s">
        <v>263</v>
      </c>
      <c r="B111" t="s">
        <v>264</v>
      </c>
      <c r="C111" t="s">
        <v>36</v>
      </c>
      <c r="D111" t="s">
        <v>47</v>
      </c>
      <c r="E111" s="109" t="s">
        <v>263</v>
      </c>
      <c r="F111" s="102">
        <v>0.28599999999999998</v>
      </c>
      <c r="G111" s="102">
        <v>0.255</v>
      </c>
      <c r="H111" s="102">
        <v>0.61199999999999999</v>
      </c>
      <c r="I111" t="s">
        <v>1154</v>
      </c>
      <c r="J111" s="3">
        <v>7.38</v>
      </c>
      <c r="K111">
        <v>9.58</v>
      </c>
      <c r="L111">
        <v>6.07</v>
      </c>
      <c r="M111">
        <v>5.56</v>
      </c>
      <c r="N111">
        <v>6.88</v>
      </c>
      <c r="O111">
        <v>8.82</v>
      </c>
      <c r="P111" s="113" t="s">
        <v>834</v>
      </c>
      <c r="Q111" s="106" t="s">
        <v>1281</v>
      </c>
      <c r="R111" s="11">
        <v>70.400000000000006</v>
      </c>
    </row>
    <row r="112" spans="1:18" x14ac:dyDescent="0.2">
      <c r="A112" t="s">
        <v>265</v>
      </c>
      <c r="B112" t="s">
        <v>266</v>
      </c>
      <c r="C112" t="s">
        <v>40</v>
      </c>
      <c r="D112" t="s">
        <v>37</v>
      </c>
      <c r="E112" s="109" t="s">
        <v>265</v>
      </c>
      <c r="F112" s="102">
        <v>0.19800000000000001</v>
      </c>
      <c r="G112" s="102">
        <v>0.32100000000000001</v>
      </c>
      <c r="H112" s="102">
        <v>0.70299999999999996</v>
      </c>
      <c r="I112" t="s">
        <v>1172</v>
      </c>
      <c r="J112" s="3">
        <v>4.63</v>
      </c>
      <c r="K112">
        <v>3.92</v>
      </c>
      <c r="L112">
        <v>2.21</v>
      </c>
      <c r="M112">
        <v>6.67</v>
      </c>
      <c r="N112">
        <v>5.63</v>
      </c>
      <c r="O112">
        <v>4.71</v>
      </c>
      <c r="P112" s="113" t="s">
        <v>832</v>
      </c>
      <c r="Q112" s="106" t="s">
        <v>1282</v>
      </c>
      <c r="R112" s="11">
        <v>51.1</v>
      </c>
    </row>
    <row r="113" spans="1:18" x14ac:dyDescent="0.2">
      <c r="A113" t="s">
        <v>267</v>
      </c>
      <c r="B113" t="s">
        <v>268</v>
      </c>
      <c r="C113" t="s">
        <v>50</v>
      </c>
      <c r="D113" t="s">
        <v>51</v>
      </c>
      <c r="E113" s="109" t="s">
        <v>267</v>
      </c>
      <c r="F113" s="102">
        <v>5.8000000000000003E-2</v>
      </c>
      <c r="G113" s="102">
        <v>0.19700000000000001</v>
      </c>
      <c r="H113" s="102">
        <v>0.55900000000000005</v>
      </c>
      <c r="I113" s="10" t="s">
        <v>1185</v>
      </c>
      <c r="J113" s="3">
        <v>6.64</v>
      </c>
      <c r="K113">
        <v>9.17</v>
      </c>
      <c r="L113">
        <v>5</v>
      </c>
      <c r="M113">
        <v>6.67</v>
      </c>
      <c r="N113">
        <v>5.63</v>
      </c>
      <c r="O113">
        <v>6.76</v>
      </c>
      <c r="P113" s="113" t="s">
        <v>834</v>
      </c>
      <c r="Q113" s="106" t="s">
        <v>1283</v>
      </c>
      <c r="R113" s="11">
        <v>53.1</v>
      </c>
    </row>
    <row r="114" spans="1:18" x14ac:dyDescent="0.2">
      <c r="A114" t="s">
        <v>269</v>
      </c>
      <c r="B114" t="s">
        <v>270</v>
      </c>
      <c r="C114" t="s">
        <v>50</v>
      </c>
      <c r="D114" t="s">
        <v>32</v>
      </c>
      <c r="E114" s="109" t="s">
        <v>269</v>
      </c>
      <c r="F114" s="102">
        <v>6.7000000000000004E-2</v>
      </c>
      <c r="G114" s="102">
        <v>0.32900000000000001</v>
      </c>
      <c r="H114" s="102">
        <v>0.72099999999999997</v>
      </c>
      <c r="I114" t="s">
        <v>1172</v>
      </c>
      <c r="J114" s="3">
        <v>5.35</v>
      </c>
      <c r="K114">
        <v>7.42</v>
      </c>
      <c r="L114">
        <v>2.57</v>
      </c>
      <c r="M114">
        <v>5.56</v>
      </c>
      <c r="N114">
        <v>5.63</v>
      </c>
      <c r="O114">
        <v>5.59</v>
      </c>
      <c r="P114" s="113" t="s">
        <v>832</v>
      </c>
      <c r="Q114" s="106" t="s">
        <v>1284</v>
      </c>
      <c r="R114" s="11">
        <v>49.7</v>
      </c>
    </row>
    <row r="115" spans="1:18" x14ac:dyDescent="0.2">
      <c r="A115" t="s">
        <v>271</v>
      </c>
      <c r="B115" t="s">
        <v>272</v>
      </c>
      <c r="C115" t="s">
        <v>40</v>
      </c>
      <c r="D115" t="s">
        <v>37</v>
      </c>
      <c r="E115" s="109" t="s">
        <v>271</v>
      </c>
      <c r="F115" s="102">
        <v>2.3E-2</v>
      </c>
      <c r="G115" s="102">
        <v>7.6999999999999999E-2</v>
      </c>
      <c r="H115" s="102">
        <v>0.40500000000000003</v>
      </c>
      <c r="I115" t="s">
        <v>1187</v>
      </c>
      <c r="J115" s="3">
        <v>2.19</v>
      </c>
      <c r="K115">
        <v>1</v>
      </c>
      <c r="L115">
        <v>0.36</v>
      </c>
      <c r="M115">
        <v>1.67</v>
      </c>
      <c r="N115">
        <v>5</v>
      </c>
      <c r="O115">
        <v>2.94</v>
      </c>
      <c r="P115" s="113" t="s">
        <v>831</v>
      </c>
      <c r="R115" s="11"/>
    </row>
    <row r="116" spans="1:18" x14ac:dyDescent="0.2">
      <c r="A116" t="s">
        <v>273</v>
      </c>
      <c r="B116" t="s">
        <v>274</v>
      </c>
      <c r="C116" t="s">
        <v>36</v>
      </c>
      <c r="D116" t="s">
        <v>47</v>
      </c>
      <c r="E116" s="109" t="s">
        <v>273</v>
      </c>
      <c r="F116" s="102">
        <v>8.9999999999999993E-3</v>
      </c>
      <c r="G116" s="102">
        <v>0.191</v>
      </c>
      <c r="H116" s="102">
        <v>0.54800000000000004</v>
      </c>
      <c r="I116" t="s">
        <v>1185</v>
      </c>
      <c r="J116" s="3" t="s">
        <v>33</v>
      </c>
      <c r="K116" t="s">
        <v>33</v>
      </c>
      <c r="L116" t="s">
        <v>33</v>
      </c>
      <c r="M116" t="s">
        <v>33</v>
      </c>
      <c r="N116" t="s">
        <v>33</v>
      </c>
      <c r="O116" t="s">
        <v>33</v>
      </c>
      <c r="P116" s="113" t="s">
        <v>833</v>
      </c>
      <c r="R116" s="11"/>
    </row>
    <row r="117" spans="1:18" x14ac:dyDescent="0.2">
      <c r="A117" t="s">
        <v>275</v>
      </c>
      <c r="B117" t="s">
        <v>276</v>
      </c>
      <c r="C117" t="s">
        <v>36</v>
      </c>
      <c r="D117" t="s">
        <v>47</v>
      </c>
      <c r="E117" s="109" t="s">
        <v>275</v>
      </c>
      <c r="F117" s="102">
        <v>5.7000000000000002E-2</v>
      </c>
      <c r="G117" s="102">
        <v>0.215</v>
      </c>
      <c r="H117" s="102">
        <v>0.57399999999999995</v>
      </c>
      <c r="I117" t="s">
        <v>1154</v>
      </c>
      <c r="J117" s="3">
        <v>7.5</v>
      </c>
      <c r="K117">
        <v>9.58</v>
      </c>
      <c r="L117">
        <v>6.43</v>
      </c>
      <c r="M117">
        <v>6.11</v>
      </c>
      <c r="N117">
        <v>6.25</v>
      </c>
      <c r="O117">
        <v>9.1199999999999992</v>
      </c>
      <c r="P117" s="113" t="s">
        <v>834</v>
      </c>
      <c r="Q117" s="106" t="s">
        <v>1285</v>
      </c>
      <c r="R117" s="11">
        <v>74.2</v>
      </c>
    </row>
    <row r="118" spans="1:18" x14ac:dyDescent="0.2">
      <c r="A118" t="s">
        <v>277</v>
      </c>
      <c r="B118" t="s">
        <v>278</v>
      </c>
      <c r="C118" t="s">
        <v>36</v>
      </c>
      <c r="D118" t="s">
        <v>47</v>
      </c>
      <c r="E118" s="109" t="s">
        <v>277</v>
      </c>
      <c r="F118" s="100">
        <v>6.4000000000000001E-2</v>
      </c>
      <c r="G118" s="100">
        <v>0.3</v>
      </c>
      <c r="H118" s="102">
        <v>0.68700000000000006</v>
      </c>
      <c r="I118" t="s">
        <v>1172</v>
      </c>
      <c r="J118" s="3">
        <v>8.81</v>
      </c>
      <c r="K118">
        <v>10</v>
      </c>
      <c r="L118">
        <v>8.93</v>
      </c>
      <c r="M118">
        <v>6.67</v>
      </c>
      <c r="N118">
        <v>8.75</v>
      </c>
      <c r="O118">
        <v>9.7100000000000009</v>
      </c>
      <c r="P118" s="113" t="s">
        <v>835</v>
      </c>
      <c r="Q118" s="106" t="s">
        <v>1286</v>
      </c>
      <c r="R118" s="11">
        <v>75.900000000000006</v>
      </c>
    </row>
    <row r="119" spans="1:18" x14ac:dyDescent="0.2">
      <c r="A119" t="s">
        <v>279</v>
      </c>
      <c r="B119" t="s">
        <v>280</v>
      </c>
      <c r="C119" t="s">
        <v>44</v>
      </c>
      <c r="D119" t="s">
        <v>47</v>
      </c>
      <c r="E119" s="109" t="s">
        <v>1553</v>
      </c>
      <c r="F119" s="102">
        <v>2.5000000000000001E-2</v>
      </c>
      <c r="G119" s="102">
        <v>0.54600000000000004</v>
      </c>
      <c r="H119" s="102">
        <v>0.92300000000000004</v>
      </c>
      <c r="I119" t="s">
        <v>1173</v>
      </c>
      <c r="J119" s="3" t="s">
        <v>33</v>
      </c>
      <c r="K119" t="s">
        <v>33</v>
      </c>
      <c r="L119" t="s">
        <v>33</v>
      </c>
      <c r="M119" t="s">
        <v>33</v>
      </c>
      <c r="N119" t="s">
        <v>33</v>
      </c>
      <c r="O119" t="s">
        <v>33</v>
      </c>
      <c r="P119" s="113" t="s">
        <v>833</v>
      </c>
      <c r="Q119" s="106" t="s">
        <v>1287</v>
      </c>
      <c r="R119" s="11">
        <v>71</v>
      </c>
    </row>
    <row r="120" spans="1:18" x14ac:dyDescent="0.2">
      <c r="A120" t="s">
        <v>281</v>
      </c>
      <c r="B120" t="s">
        <v>282</v>
      </c>
      <c r="C120" t="s">
        <v>36</v>
      </c>
      <c r="D120" t="s">
        <v>37</v>
      </c>
      <c r="E120" s="109"/>
      <c r="F120" s="102"/>
      <c r="G120" s="102"/>
      <c r="H120" s="102"/>
      <c r="J120" s="3">
        <v>5.87</v>
      </c>
      <c r="K120">
        <v>6.5</v>
      </c>
      <c r="L120">
        <v>5.36</v>
      </c>
      <c r="M120">
        <v>6.67</v>
      </c>
      <c r="N120">
        <v>3.75</v>
      </c>
      <c r="O120">
        <v>7.06</v>
      </c>
      <c r="P120" s="113" t="s">
        <v>832</v>
      </c>
      <c r="R120" s="11"/>
    </row>
    <row r="121" spans="1:18" x14ac:dyDescent="0.2">
      <c r="A121" t="s">
        <v>283</v>
      </c>
      <c r="B121" t="s">
        <v>284</v>
      </c>
      <c r="C121" t="s">
        <v>50</v>
      </c>
      <c r="D121" t="s">
        <v>32</v>
      </c>
      <c r="E121" s="109" t="s">
        <v>283</v>
      </c>
      <c r="F121" s="102">
        <v>0.22500000000000001</v>
      </c>
      <c r="G121" s="102">
        <v>0.47599999999999998</v>
      </c>
      <c r="H121" s="102">
        <v>0.86399999999999999</v>
      </c>
      <c r="I121" t="s">
        <v>1173</v>
      </c>
      <c r="J121" s="3">
        <v>5.22</v>
      </c>
      <c r="K121">
        <v>6.08</v>
      </c>
      <c r="L121">
        <v>3.57</v>
      </c>
      <c r="M121">
        <v>6.11</v>
      </c>
      <c r="N121">
        <v>5.63</v>
      </c>
      <c r="O121">
        <v>4.71</v>
      </c>
      <c r="P121" s="113" t="s">
        <v>832</v>
      </c>
      <c r="Q121" s="106" t="s">
        <v>1288</v>
      </c>
      <c r="R121" s="11">
        <v>56.6</v>
      </c>
    </row>
    <row r="122" spans="1:18" x14ac:dyDescent="0.2">
      <c r="A122" t="s">
        <v>285</v>
      </c>
      <c r="B122" t="s">
        <v>286</v>
      </c>
      <c r="C122" t="s">
        <v>50</v>
      </c>
      <c r="D122" t="s">
        <v>32</v>
      </c>
      <c r="E122" s="109" t="s">
        <v>285</v>
      </c>
      <c r="F122" s="102">
        <v>7.0999999999999994E-2</v>
      </c>
      <c r="G122" s="102">
        <v>0.17399999999999999</v>
      </c>
      <c r="H122" s="102">
        <v>0.51800000000000002</v>
      </c>
      <c r="I122" t="s">
        <v>1154</v>
      </c>
      <c r="J122" s="3">
        <v>5.49</v>
      </c>
      <c r="K122">
        <v>6.58</v>
      </c>
      <c r="L122">
        <v>4.29</v>
      </c>
      <c r="M122">
        <v>4.4400000000000004</v>
      </c>
      <c r="N122">
        <v>6.25</v>
      </c>
      <c r="O122">
        <v>5.88</v>
      </c>
      <c r="P122" s="113" t="s">
        <v>832</v>
      </c>
      <c r="Q122" s="106" t="s">
        <v>1289</v>
      </c>
      <c r="R122" s="11">
        <v>51.4</v>
      </c>
    </row>
    <row r="123" spans="1:18" x14ac:dyDescent="0.2">
      <c r="A123" t="s">
        <v>287</v>
      </c>
      <c r="B123" t="s">
        <v>288</v>
      </c>
      <c r="C123" t="s">
        <v>44</v>
      </c>
      <c r="D123" t="s">
        <v>37</v>
      </c>
      <c r="E123" s="109" t="s">
        <v>287</v>
      </c>
      <c r="F123" s="102">
        <v>4.0000000000000001E-3</v>
      </c>
      <c r="G123" s="102">
        <v>0.183</v>
      </c>
      <c r="H123" s="102">
        <v>0.54100000000000004</v>
      </c>
      <c r="I123" s="10" t="s">
        <v>1185</v>
      </c>
      <c r="J123" s="3">
        <v>6.88</v>
      </c>
      <c r="K123">
        <v>7.75</v>
      </c>
      <c r="L123">
        <v>7.86</v>
      </c>
      <c r="M123">
        <v>6.67</v>
      </c>
      <c r="N123">
        <v>6.25</v>
      </c>
      <c r="O123">
        <v>5.88</v>
      </c>
      <c r="P123" s="113" t="s">
        <v>834</v>
      </c>
      <c r="Q123" s="106" t="s">
        <v>1290</v>
      </c>
      <c r="R123" s="11">
        <v>74</v>
      </c>
    </row>
    <row r="124" spans="1:18" x14ac:dyDescent="0.2">
      <c r="A124" t="s">
        <v>289</v>
      </c>
      <c r="B124" t="s">
        <v>290</v>
      </c>
      <c r="C124" t="s">
        <v>31</v>
      </c>
      <c r="D124" t="s">
        <v>37</v>
      </c>
      <c r="E124" s="109" t="s">
        <v>289</v>
      </c>
      <c r="F124" s="102">
        <v>0.05</v>
      </c>
      <c r="G124" s="102">
        <v>0.44700000000000001</v>
      </c>
      <c r="H124" s="102">
        <v>0.85499999999999998</v>
      </c>
      <c r="I124" t="s">
        <v>1173</v>
      </c>
      <c r="J124" s="3" t="s">
        <v>33</v>
      </c>
      <c r="K124" t="s">
        <v>33</v>
      </c>
      <c r="L124" t="s">
        <v>33</v>
      </c>
      <c r="M124" t="s">
        <v>33</v>
      </c>
      <c r="N124" t="s">
        <v>33</v>
      </c>
      <c r="O124" t="s">
        <v>33</v>
      </c>
      <c r="P124" s="113" t="s">
        <v>833</v>
      </c>
      <c r="Q124" s="106" t="s">
        <v>1291</v>
      </c>
      <c r="R124" s="11">
        <v>53.2</v>
      </c>
    </row>
    <row r="125" spans="1:18" x14ac:dyDescent="0.2">
      <c r="A125" t="s">
        <v>291</v>
      </c>
      <c r="B125" t="s">
        <v>292</v>
      </c>
      <c r="C125" t="s">
        <v>50</v>
      </c>
      <c r="D125" t="s">
        <v>32</v>
      </c>
      <c r="E125" s="109" t="s">
        <v>291</v>
      </c>
      <c r="F125" s="102">
        <v>6.8000000000000005E-2</v>
      </c>
      <c r="G125" s="102">
        <v>0.32300000000000001</v>
      </c>
      <c r="H125" s="102">
        <v>0.69499999999999995</v>
      </c>
      <c r="I125" t="s">
        <v>1172</v>
      </c>
      <c r="J125" s="3">
        <v>5.41</v>
      </c>
      <c r="K125">
        <v>7.42</v>
      </c>
      <c r="L125">
        <v>3.93</v>
      </c>
      <c r="M125">
        <v>3.89</v>
      </c>
      <c r="N125">
        <v>5.63</v>
      </c>
      <c r="O125">
        <v>6.18</v>
      </c>
      <c r="P125" s="113" t="s">
        <v>832</v>
      </c>
      <c r="Q125" s="106" t="s">
        <v>1292</v>
      </c>
      <c r="R125" s="11">
        <v>58.1</v>
      </c>
    </row>
    <row r="126" spans="1:18" x14ac:dyDescent="0.2">
      <c r="A126" t="s">
        <v>293</v>
      </c>
      <c r="B126" t="s">
        <v>294</v>
      </c>
      <c r="C126" t="s">
        <v>40</v>
      </c>
      <c r="D126" t="s">
        <v>47</v>
      </c>
      <c r="E126" s="109" t="s">
        <v>293</v>
      </c>
      <c r="F126" s="102">
        <v>0.221</v>
      </c>
      <c r="G126" s="102">
        <v>0.42899999999999999</v>
      </c>
      <c r="H126" s="102">
        <v>0.83799999999999997</v>
      </c>
      <c r="I126" t="s">
        <v>1173</v>
      </c>
      <c r="J126" s="3">
        <v>8.2100000000000009</v>
      </c>
      <c r="K126">
        <v>9.17</v>
      </c>
      <c r="L126">
        <v>8.2100000000000009</v>
      </c>
      <c r="M126">
        <v>6.11</v>
      </c>
      <c r="N126">
        <v>8.75</v>
      </c>
      <c r="O126">
        <v>8.82</v>
      </c>
      <c r="P126" s="113" t="s">
        <v>835</v>
      </c>
      <c r="Q126" s="106" t="s">
        <v>1293</v>
      </c>
      <c r="R126" s="11">
        <v>68.599999999999994</v>
      </c>
    </row>
    <row r="127" spans="1:18" x14ac:dyDescent="0.2">
      <c r="A127" t="s">
        <v>295</v>
      </c>
      <c r="B127" t="s">
        <v>296</v>
      </c>
      <c r="C127" t="s">
        <v>44</v>
      </c>
      <c r="D127" t="s">
        <v>37</v>
      </c>
      <c r="E127" s="109" t="s">
        <v>295</v>
      </c>
      <c r="F127" s="102">
        <v>3.0000000000000001E-3</v>
      </c>
      <c r="G127" s="102">
        <v>0.39300000000000002</v>
      </c>
      <c r="H127" s="102">
        <v>0.79200000000000004</v>
      </c>
      <c r="I127" t="s">
        <v>1173</v>
      </c>
      <c r="J127" s="3" t="s">
        <v>33</v>
      </c>
      <c r="K127" t="s">
        <v>33</v>
      </c>
      <c r="L127" t="s">
        <v>33</v>
      </c>
      <c r="M127" t="s">
        <v>33</v>
      </c>
      <c r="N127" t="s">
        <v>33</v>
      </c>
      <c r="O127" t="s">
        <v>33</v>
      </c>
      <c r="P127" s="113" t="s">
        <v>833</v>
      </c>
      <c r="R127" s="11"/>
    </row>
    <row r="128" spans="1:18" x14ac:dyDescent="0.2">
      <c r="A128" t="s">
        <v>297</v>
      </c>
      <c r="B128" t="s">
        <v>298</v>
      </c>
      <c r="C128" t="s">
        <v>50</v>
      </c>
      <c r="D128" t="s">
        <v>51</v>
      </c>
      <c r="E128" s="109" t="s">
        <v>297</v>
      </c>
      <c r="F128" s="102">
        <v>0</v>
      </c>
      <c r="G128" s="102">
        <v>0.248</v>
      </c>
      <c r="H128" s="102">
        <v>0.61099999999999999</v>
      </c>
      <c r="I128" s="10" t="s">
        <v>1172</v>
      </c>
      <c r="J128" s="3">
        <v>3.82</v>
      </c>
      <c r="K128">
        <v>3</v>
      </c>
      <c r="L128">
        <v>3.57</v>
      </c>
      <c r="M128">
        <v>5</v>
      </c>
      <c r="N128">
        <v>3.13</v>
      </c>
      <c r="O128">
        <v>4.41</v>
      </c>
      <c r="P128" s="113" t="s">
        <v>831</v>
      </c>
      <c r="Q128" s="106" t="s">
        <v>1294</v>
      </c>
      <c r="R128" s="11">
        <v>55.7</v>
      </c>
    </row>
    <row r="129" spans="1:18" x14ac:dyDescent="0.2">
      <c r="A129" t="s">
        <v>299</v>
      </c>
      <c r="B129" t="s">
        <v>300</v>
      </c>
      <c r="C129" t="s">
        <v>50</v>
      </c>
      <c r="D129" t="s">
        <v>37</v>
      </c>
      <c r="E129" s="109" t="s">
        <v>299</v>
      </c>
      <c r="F129" s="102">
        <v>0.109</v>
      </c>
      <c r="G129" s="102">
        <v>0.26600000000000001</v>
      </c>
      <c r="H129" s="102">
        <v>0.626</v>
      </c>
      <c r="I129" t="s">
        <v>1154</v>
      </c>
      <c r="J129" s="3">
        <v>8.2200000000000006</v>
      </c>
      <c r="K129">
        <v>9.17</v>
      </c>
      <c r="L129">
        <v>8.2100000000000009</v>
      </c>
      <c r="M129">
        <v>5.56</v>
      </c>
      <c r="N129">
        <v>8.75</v>
      </c>
      <c r="O129">
        <v>9.41</v>
      </c>
      <c r="P129" s="113" t="s">
        <v>835</v>
      </c>
      <c r="Q129" s="106" t="s">
        <v>1295</v>
      </c>
      <c r="R129" s="11">
        <v>73</v>
      </c>
    </row>
    <row r="130" spans="1:18" x14ac:dyDescent="0.2">
      <c r="A130" t="s">
        <v>301</v>
      </c>
      <c r="B130" t="s">
        <v>302</v>
      </c>
      <c r="C130" t="s">
        <v>54</v>
      </c>
      <c r="D130" t="s">
        <v>37</v>
      </c>
      <c r="E130" s="109" t="s">
        <v>301</v>
      </c>
      <c r="F130" s="102">
        <v>5.5E-2</v>
      </c>
      <c r="G130" s="102">
        <v>0.20599999999999999</v>
      </c>
      <c r="H130" s="102">
        <v>0.56499999999999995</v>
      </c>
      <c r="I130" t="s">
        <v>1154</v>
      </c>
      <c r="J130" s="3">
        <v>6.19</v>
      </c>
      <c r="K130">
        <v>8.33</v>
      </c>
      <c r="L130">
        <v>6.07</v>
      </c>
      <c r="M130">
        <v>7.22</v>
      </c>
      <c r="N130">
        <v>3.13</v>
      </c>
      <c r="O130">
        <v>6.18</v>
      </c>
      <c r="P130" s="113" t="s">
        <v>834</v>
      </c>
      <c r="Q130" s="106" t="s">
        <v>1296</v>
      </c>
      <c r="R130" s="11">
        <v>64.7</v>
      </c>
    </row>
    <row r="131" spans="1:18" x14ac:dyDescent="0.2">
      <c r="A131" t="s">
        <v>303</v>
      </c>
      <c r="B131" t="s">
        <v>304</v>
      </c>
      <c r="C131" t="s">
        <v>44</v>
      </c>
      <c r="D131" t="s">
        <v>51</v>
      </c>
      <c r="E131" s="109" t="s">
        <v>1554</v>
      </c>
      <c r="F131" s="102">
        <v>0.20300000000000001</v>
      </c>
      <c r="G131" s="102">
        <v>0.11799999999999999</v>
      </c>
      <c r="H131" s="102">
        <v>0.42899999999999999</v>
      </c>
      <c r="I131" t="s">
        <v>1177</v>
      </c>
      <c r="J131" s="3" t="s">
        <v>33</v>
      </c>
      <c r="K131" t="s">
        <v>33</v>
      </c>
      <c r="L131" t="s">
        <v>33</v>
      </c>
      <c r="M131" t="s">
        <v>33</v>
      </c>
      <c r="N131" t="s">
        <v>33</v>
      </c>
      <c r="O131" t="s">
        <v>33</v>
      </c>
      <c r="P131" s="113" t="s">
        <v>833</v>
      </c>
      <c r="Q131" s="106" t="s">
        <v>1297</v>
      </c>
      <c r="R131" s="11">
        <v>51.9</v>
      </c>
    </row>
    <row r="132" spans="1:18" x14ac:dyDescent="0.2">
      <c r="A132" t="s">
        <v>305</v>
      </c>
      <c r="B132" t="s">
        <v>306</v>
      </c>
      <c r="C132" t="s">
        <v>36</v>
      </c>
      <c r="D132" t="s">
        <v>51</v>
      </c>
      <c r="E132" s="109" t="s">
        <v>305</v>
      </c>
      <c r="F132" s="102">
        <v>5.0999999999999997E-2</v>
      </c>
      <c r="G132" s="102">
        <v>0.127</v>
      </c>
      <c r="H132" s="102">
        <v>0.45800000000000002</v>
      </c>
      <c r="I132" t="s">
        <v>1177</v>
      </c>
      <c r="J132" s="3">
        <v>5.85</v>
      </c>
      <c r="K132">
        <v>7.08</v>
      </c>
      <c r="L132">
        <v>4.6399999999999997</v>
      </c>
      <c r="M132">
        <v>6.11</v>
      </c>
      <c r="N132">
        <v>4.38</v>
      </c>
      <c r="O132">
        <v>7.06</v>
      </c>
      <c r="P132" s="113" t="s">
        <v>832</v>
      </c>
      <c r="Q132" s="106" t="s">
        <v>1298</v>
      </c>
      <c r="R132" s="11">
        <v>59.1</v>
      </c>
    </row>
    <row r="133" spans="1:18" x14ac:dyDescent="0.2">
      <c r="A133" t="s">
        <v>307</v>
      </c>
      <c r="B133" t="s">
        <v>308</v>
      </c>
      <c r="C133" t="s">
        <v>36</v>
      </c>
      <c r="D133" t="s">
        <v>47</v>
      </c>
      <c r="E133" s="109" t="s">
        <v>307</v>
      </c>
      <c r="F133" s="102">
        <v>0.122</v>
      </c>
      <c r="G133" s="102">
        <v>0.28599999999999998</v>
      </c>
      <c r="H133" s="102">
        <v>0.65400000000000003</v>
      </c>
      <c r="I133" t="s">
        <v>1154</v>
      </c>
      <c r="J133" s="3" t="s">
        <v>33</v>
      </c>
      <c r="K133" t="s">
        <v>33</v>
      </c>
      <c r="L133" t="s">
        <v>33</v>
      </c>
      <c r="M133" t="s">
        <v>33</v>
      </c>
      <c r="N133" t="s">
        <v>33</v>
      </c>
      <c r="O133" t="s">
        <v>33</v>
      </c>
      <c r="P133" s="113" t="s">
        <v>833</v>
      </c>
      <c r="R133" s="11"/>
    </row>
    <row r="134" spans="1:18" x14ac:dyDescent="0.2">
      <c r="A134" t="s">
        <v>309</v>
      </c>
      <c r="B134" t="s">
        <v>310</v>
      </c>
      <c r="C134" t="s">
        <v>44</v>
      </c>
      <c r="D134" t="s">
        <v>51</v>
      </c>
      <c r="E134" s="109" t="s">
        <v>309</v>
      </c>
      <c r="F134" s="102">
        <v>0.60699999999999998</v>
      </c>
      <c r="G134" s="102">
        <v>6.5000000000000002E-2</v>
      </c>
      <c r="H134" s="102">
        <v>0.35</v>
      </c>
      <c r="I134" t="s">
        <v>1154</v>
      </c>
      <c r="J134" s="3">
        <v>6.5</v>
      </c>
      <c r="K134">
        <v>9.17</v>
      </c>
      <c r="L134">
        <v>5.71</v>
      </c>
      <c r="M134">
        <v>5.56</v>
      </c>
      <c r="N134">
        <v>5</v>
      </c>
      <c r="O134">
        <v>7.06</v>
      </c>
      <c r="P134" s="113" t="s">
        <v>834</v>
      </c>
      <c r="Q134" s="106" t="s">
        <v>1299</v>
      </c>
      <c r="R134" s="11">
        <v>55.4</v>
      </c>
    </row>
    <row r="135" spans="1:18" x14ac:dyDescent="0.2">
      <c r="A135" t="s">
        <v>311</v>
      </c>
      <c r="B135" t="s">
        <v>312</v>
      </c>
      <c r="C135" t="s">
        <v>36</v>
      </c>
      <c r="D135" t="s">
        <v>37</v>
      </c>
      <c r="E135" s="109" t="s">
        <v>311</v>
      </c>
      <c r="F135" s="102">
        <v>9.8000000000000004E-2</v>
      </c>
      <c r="G135" s="102">
        <v>0.41099999999999998</v>
      </c>
      <c r="H135" s="102">
        <v>0.83</v>
      </c>
      <c r="I135" t="s">
        <v>1173</v>
      </c>
      <c r="J135" s="3">
        <v>5.74</v>
      </c>
      <c r="K135">
        <v>6.08</v>
      </c>
      <c r="L135">
        <v>5.36</v>
      </c>
      <c r="M135">
        <v>6.11</v>
      </c>
      <c r="N135">
        <v>4.38</v>
      </c>
      <c r="O135">
        <v>6.76</v>
      </c>
      <c r="P135" s="113" t="s">
        <v>832</v>
      </c>
      <c r="Q135" s="106" t="s">
        <v>1300</v>
      </c>
      <c r="R135" s="11">
        <v>60.5</v>
      </c>
    </row>
    <row r="136" spans="1:18" x14ac:dyDescent="0.2">
      <c r="A136" t="s">
        <v>313</v>
      </c>
      <c r="B136" t="s">
        <v>314</v>
      </c>
      <c r="C136" t="s">
        <v>40</v>
      </c>
      <c r="D136" t="s">
        <v>51</v>
      </c>
      <c r="E136" s="109" t="s">
        <v>313</v>
      </c>
      <c r="F136" s="102">
        <v>7.0000000000000001E-3</v>
      </c>
      <c r="G136" s="102">
        <v>0.221</v>
      </c>
      <c r="H136" s="102">
        <v>0.58699999999999997</v>
      </c>
      <c r="I136" t="s">
        <v>1154</v>
      </c>
      <c r="J136" s="3">
        <v>4.99</v>
      </c>
      <c r="K136">
        <v>5.25</v>
      </c>
      <c r="L136">
        <v>4.6399999999999997</v>
      </c>
      <c r="M136">
        <v>5</v>
      </c>
      <c r="N136">
        <v>5.63</v>
      </c>
      <c r="O136">
        <v>4.41</v>
      </c>
      <c r="P136" s="113" t="s">
        <v>832</v>
      </c>
      <c r="Q136" s="106" t="s">
        <v>1301</v>
      </c>
      <c r="R136" s="11">
        <v>62.9</v>
      </c>
    </row>
    <row r="137" spans="1:18" x14ac:dyDescent="0.2">
      <c r="A137" t="s">
        <v>315</v>
      </c>
      <c r="B137" t="s">
        <v>316</v>
      </c>
      <c r="C137" t="s">
        <v>50</v>
      </c>
      <c r="D137" t="s">
        <v>32</v>
      </c>
      <c r="E137" s="109" t="s">
        <v>315</v>
      </c>
      <c r="F137" s="102">
        <v>9.6000000000000002E-2</v>
      </c>
      <c r="G137" s="102">
        <v>0.30599999999999999</v>
      </c>
      <c r="H137" s="102">
        <v>0.69099999999999995</v>
      </c>
      <c r="I137" t="s">
        <v>1172</v>
      </c>
      <c r="J137" s="3">
        <v>3.85</v>
      </c>
      <c r="K137">
        <v>3.58</v>
      </c>
      <c r="L137">
        <v>2.14</v>
      </c>
      <c r="M137">
        <v>5</v>
      </c>
      <c r="N137">
        <v>5</v>
      </c>
      <c r="O137">
        <v>3.53</v>
      </c>
      <c r="P137" s="113" t="s">
        <v>831</v>
      </c>
      <c r="Q137" s="106" t="s">
        <v>1302</v>
      </c>
      <c r="R137" s="11">
        <v>48.6</v>
      </c>
    </row>
    <row r="138" spans="1:18" x14ac:dyDescent="0.2">
      <c r="A138" t="s">
        <v>317</v>
      </c>
      <c r="B138" t="s">
        <v>318</v>
      </c>
      <c r="C138" t="s">
        <v>44</v>
      </c>
      <c r="D138" t="s">
        <v>51</v>
      </c>
      <c r="E138" s="110" t="s">
        <v>317</v>
      </c>
      <c r="F138" s="102">
        <v>0.11700000000000001</v>
      </c>
      <c r="G138" s="102">
        <v>0.29599999999999999</v>
      </c>
      <c r="H138" s="102">
        <v>0.67900000000000005</v>
      </c>
      <c r="I138" t="s">
        <v>1172</v>
      </c>
      <c r="J138" s="3">
        <v>3.83</v>
      </c>
      <c r="K138">
        <v>3.67</v>
      </c>
      <c r="L138">
        <v>3.93</v>
      </c>
      <c r="M138">
        <v>3.89</v>
      </c>
      <c r="N138">
        <v>5.63</v>
      </c>
      <c r="O138">
        <v>2.06</v>
      </c>
      <c r="P138" s="113" t="s">
        <v>831</v>
      </c>
      <c r="Q138" s="106" t="s">
        <v>1303</v>
      </c>
      <c r="R138" s="11">
        <v>53.6</v>
      </c>
    </row>
    <row r="139" spans="1:18" x14ac:dyDescent="0.2">
      <c r="A139" t="s">
        <v>319</v>
      </c>
      <c r="B139" t="s">
        <v>320</v>
      </c>
      <c r="C139" t="s">
        <v>50</v>
      </c>
      <c r="D139" t="s">
        <v>37</v>
      </c>
      <c r="E139" s="109" t="s">
        <v>319</v>
      </c>
      <c r="F139" s="102">
        <v>6.7000000000000004E-2</v>
      </c>
      <c r="G139" s="102">
        <v>0.26300000000000001</v>
      </c>
      <c r="H139" s="102">
        <v>0.621</v>
      </c>
      <c r="I139" s="10" t="s">
        <v>1185</v>
      </c>
      <c r="J139" s="3">
        <v>6.25</v>
      </c>
      <c r="K139">
        <v>5.67</v>
      </c>
      <c r="L139">
        <v>5.36</v>
      </c>
      <c r="M139">
        <v>6.67</v>
      </c>
      <c r="N139">
        <v>5.63</v>
      </c>
      <c r="O139">
        <v>7.94</v>
      </c>
      <c r="P139" s="113" t="s">
        <v>834</v>
      </c>
      <c r="Q139" s="106" t="s">
        <v>1304</v>
      </c>
      <c r="R139" s="11">
        <v>58.7</v>
      </c>
    </row>
    <row r="140" spans="1:18" x14ac:dyDescent="0.2">
      <c r="A140" t="s">
        <v>321</v>
      </c>
      <c r="B140" t="s">
        <v>322</v>
      </c>
      <c r="C140" t="s">
        <v>44</v>
      </c>
      <c r="D140" t="s">
        <v>37</v>
      </c>
      <c r="E140" s="109" t="s">
        <v>321</v>
      </c>
      <c r="F140" s="102">
        <v>1.7000000000000001E-2</v>
      </c>
      <c r="G140" s="102">
        <v>0.19500000000000001</v>
      </c>
      <c r="H140" s="102">
        <v>0.54800000000000004</v>
      </c>
      <c r="I140" t="s">
        <v>1185</v>
      </c>
      <c r="J140" s="3" t="s">
        <v>33</v>
      </c>
      <c r="K140" t="s">
        <v>33</v>
      </c>
      <c r="L140" t="s">
        <v>33</v>
      </c>
      <c r="M140" t="s">
        <v>33</v>
      </c>
      <c r="N140" t="s">
        <v>33</v>
      </c>
      <c r="O140" t="s">
        <v>33</v>
      </c>
      <c r="P140" s="113" t="s">
        <v>833</v>
      </c>
      <c r="R140" s="11"/>
    </row>
    <row r="141" spans="1:18" x14ac:dyDescent="0.2">
      <c r="A141" t="s">
        <v>323</v>
      </c>
      <c r="B141" t="s">
        <v>324</v>
      </c>
      <c r="C141" t="s">
        <v>31</v>
      </c>
      <c r="D141" t="s">
        <v>32</v>
      </c>
      <c r="E141" s="109" t="s">
        <v>323</v>
      </c>
      <c r="F141" s="102">
        <v>2.5000000000000001E-2</v>
      </c>
      <c r="G141" s="102">
        <v>0.13</v>
      </c>
      <c r="H141" s="102">
        <v>0.46400000000000002</v>
      </c>
      <c r="I141" t="s">
        <v>1177</v>
      </c>
      <c r="J141" s="3">
        <v>5.18</v>
      </c>
      <c r="K141">
        <v>4.33</v>
      </c>
      <c r="L141">
        <v>5.36</v>
      </c>
      <c r="M141">
        <v>5</v>
      </c>
      <c r="N141">
        <v>5.63</v>
      </c>
      <c r="O141">
        <v>5.59</v>
      </c>
      <c r="P141" s="113" t="s">
        <v>832</v>
      </c>
      <c r="Q141" s="106" t="s">
        <v>1305</v>
      </c>
      <c r="R141" s="11">
        <v>53.8</v>
      </c>
    </row>
    <row r="142" spans="1:18" x14ac:dyDescent="0.2">
      <c r="A142" t="s">
        <v>325</v>
      </c>
      <c r="B142" t="s">
        <v>326</v>
      </c>
      <c r="C142" t="s">
        <v>36</v>
      </c>
      <c r="D142" t="s">
        <v>47</v>
      </c>
      <c r="E142" s="109" t="s">
        <v>325</v>
      </c>
      <c r="F142" s="102">
        <v>8.9999999999999993E-3</v>
      </c>
      <c r="G142" s="102">
        <v>0.498</v>
      </c>
      <c r="H142" s="102">
        <v>0.87</v>
      </c>
      <c r="I142" t="s">
        <v>1173</v>
      </c>
      <c r="J142" s="3">
        <v>8.89</v>
      </c>
      <c r="K142">
        <v>9.58</v>
      </c>
      <c r="L142">
        <v>9.2899999999999991</v>
      </c>
      <c r="M142">
        <v>8.33</v>
      </c>
      <c r="N142">
        <v>8.1300000000000008</v>
      </c>
      <c r="O142">
        <v>9.1199999999999992</v>
      </c>
      <c r="P142" s="113" t="s">
        <v>835</v>
      </c>
      <c r="Q142" s="106" t="s">
        <v>1306</v>
      </c>
      <c r="R142" s="11">
        <v>76.8</v>
      </c>
    </row>
    <row r="143" spans="1:18" x14ac:dyDescent="0.2">
      <c r="A143" t="s">
        <v>327</v>
      </c>
      <c r="B143" t="s">
        <v>328</v>
      </c>
      <c r="C143" t="s">
        <v>44</v>
      </c>
      <c r="D143" t="s">
        <v>47</v>
      </c>
      <c r="E143" s="109" t="s">
        <v>327</v>
      </c>
      <c r="F143" s="102">
        <v>0.27</v>
      </c>
      <c r="G143" s="102">
        <v>0.13500000000000001</v>
      </c>
      <c r="H143" s="102">
        <v>0.47699999999999998</v>
      </c>
      <c r="I143" t="s">
        <v>1154</v>
      </c>
      <c r="J143" s="3" t="s">
        <v>33</v>
      </c>
      <c r="K143" t="s">
        <v>33</v>
      </c>
      <c r="L143" t="s">
        <v>33</v>
      </c>
      <c r="M143" t="s">
        <v>33</v>
      </c>
      <c r="N143" t="s">
        <v>33</v>
      </c>
      <c r="O143" t="s">
        <v>33</v>
      </c>
      <c r="P143" s="113" t="s">
        <v>833</v>
      </c>
      <c r="R143" s="11"/>
    </row>
    <row r="144" spans="1:18" x14ac:dyDescent="0.2">
      <c r="A144" t="s">
        <v>329</v>
      </c>
      <c r="B144" t="s">
        <v>330</v>
      </c>
      <c r="C144" t="s">
        <v>44</v>
      </c>
      <c r="D144" t="s">
        <v>47</v>
      </c>
      <c r="E144" s="109" t="s">
        <v>329</v>
      </c>
      <c r="F144" s="102">
        <v>4.2000000000000003E-2</v>
      </c>
      <c r="G144" s="102">
        <v>0.33200000000000002</v>
      </c>
      <c r="H144" s="102">
        <v>0.73399999999999999</v>
      </c>
      <c r="I144" t="s">
        <v>1172</v>
      </c>
      <c r="J144" s="3">
        <v>9.26</v>
      </c>
      <c r="K144">
        <v>10</v>
      </c>
      <c r="L144">
        <v>9.2899999999999991</v>
      </c>
      <c r="M144">
        <v>8.89</v>
      </c>
      <c r="N144">
        <v>8.1300000000000008</v>
      </c>
      <c r="O144">
        <v>10</v>
      </c>
      <c r="P144" s="113" t="s">
        <v>835</v>
      </c>
      <c r="Q144" s="106" t="s">
        <v>1307</v>
      </c>
      <c r="R144" s="11">
        <v>84.4</v>
      </c>
    </row>
    <row r="145" spans="1:18" x14ac:dyDescent="0.2">
      <c r="A145" t="s">
        <v>331</v>
      </c>
      <c r="B145" t="s">
        <v>332</v>
      </c>
      <c r="C145" t="s">
        <v>54</v>
      </c>
      <c r="D145" t="s">
        <v>51</v>
      </c>
      <c r="E145" s="109" t="s">
        <v>331</v>
      </c>
      <c r="F145" s="102">
        <v>1.6E-2</v>
      </c>
      <c r="G145" s="102">
        <v>0.33</v>
      </c>
      <c r="H145" s="102">
        <v>0.72699999999999998</v>
      </c>
      <c r="I145" t="s">
        <v>1172</v>
      </c>
      <c r="J145" s="3">
        <v>3.63</v>
      </c>
      <c r="K145">
        <v>2.67</v>
      </c>
      <c r="L145">
        <v>1.86</v>
      </c>
      <c r="M145">
        <v>3.89</v>
      </c>
      <c r="N145">
        <v>5.63</v>
      </c>
      <c r="O145">
        <v>4.12</v>
      </c>
      <c r="P145" s="113" t="s">
        <v>831</v>
      </c>
      <c r="Q145" s="106" t="s">
        <v>1308</v>
      </c>
      <c r="R145" s="11">
        <v>57.7</v>
      </c>
    </row>
    <row r="146" spans="1:18" x14ac:dyDescent="0.2">
      <c r="A146" t="s">
        <v>333</v>
      </c>
      <c r="B146" t="s">
        <v>334</v>
      </c>
      <c r="C146" t="s">
        <v>50</v>
      </c>
      <c r="D146" t="s">
        <v>32</v>
      </c>
      <c r="E146" s="109" t="s">
        <v>333</v>
      </c>
      <c r="F146" s="102">
        <v>0.13700000000000001</v>
      </c>
      <c r="G146" s="102">
        <v>0.41</v>
      </c>
      <c r="H146" s="102">
        <v>0.82799999999999996</v>
      </c>
      <c r="I146" t="s">
        <v>1173</v>
      </c>
      <c r="J146" s="3">
        <v>3.76</v>
      </c>
      <c r="K146">
        <v>5.25</v>
      </c>
      <c r="L146">
        <v>1.1399999999999999</v>
      </c>
      <c r="M146">
        <v>3.33</v>
      </c>
      <c r="N146">
        <v>4.38</v>
      </c>
      <c r="O146">
        <v>4.71</v>
      </c>
      <c r="P146" s="113" t="s">
        <v>831</v>
      </c>
      <c r="Q146" s="106" t="s">
        <v>1309</v>
      </c>
      <c r="R146" s="11">
        <v>51.6</v>
      </c>
    </row>
    <row r="147" spans="1:18" x14ac:dyDescent="0.2">
      <c r="A147" t="s">
        <v>335</v>
      </c>
      <c r="B147" t="s">
        <v>336</v>
      </c>
      <c r="C147" t="s">
        <v>50</v>
      </c>
      <c r="D147" t="s">
        <v>51</v>
      </c>
      <c r="E147" s="109" t="s">
        <v>335</v>
      </c>
      <c r="F147" s="102">
        <v>0.23899999999999999</v>
      </c>
      <c r="G147" s="102">
        <v>0.193</v>
      </c>
      <c r="H147" s="102">
        <v>0.54900000000000004</v>
      </c>
      <c r="I147" t="s">
        <v>1154</v>
      </c>
      <c r="J147" s="3">
        <v>4.4400000000000004</v>
      </c>
      <c r="K147">
        <v>6.08</v>
      </c>
      <c r="L147">
        <v>4.6399999999999997</v>
      </c>
      <c r="M147">
        <v>3.33</v>
      </c>
      <c r="N147">
        <v>3.75</v>
      </c>
      <c r="O147">
        <v>4.41</v>
      </c>
      <c r="P147" s="113" t="s">
        <v>832</v>
      </c>
      <c r="Q147" s="106" t="s">
        <v>1310</v>
      </c>
      <c r="R147" s="11">
        <v>57.3</v>
      </c>
    </row>
    <row r="148" spans="1:18" x14ac:dyDescent="0.2">
      <c r="A148" t="s">
        <v>337</v>
      </c>
      <c r="B148" t="s">
        <v>338</v>
      </c>
      <c r="C148" t="s">
        <v>44</v>
      </c>
      <c r="D148" t="s">
        <v>47</v>
      </c>
      <c r="E148" s="109" t="s">
        <v>337</v>
      </c>
      <c r="F148" s="102">
        <v>8.9999999999999993E-3</v>
      </c>
      <c r="G148" s="102">
        <v>5.2999999999999999E-2</v>
      </c>
      <c r="H148" s="102">
        <v>0.33100000000000002</v>
      </c>
      <c r="I148" t="s">
        <v>1171</v>
      </c>
      <c r="J148" s="3" t="s">
        <v>33</v>
      </c>
      <c r="K148" t="s">
        <v>33</v>
      </c>
      <c r="L148" t="s">
        <v>33</v>
      </c>
      <c r="M148" t="s">
        <v>33</v>
      </c>
      <c r="N148" t="s">
        <v>33</v>
      </c>
      <c r="O148" t="s">
        <v>33</v>
      </c>
      <c r="P148" s="113" t="s">
        <v>833</v>
      </c>
      <c r="R148" s="10"/>
    </row>
    <row r="149" spans="1:18" x14ac:dyDescent="0.2">
      <c r="A149" t="s">
        <v>339</v>
      </c>
      <c r="B149" t="s">
        <v>340</v>
      </c>
      <c r="C149" t="s">
        <v>36</v>
      </c>
      <c r="D149" t="s">
        <v>47</v>
      </c>
      <c r="E149" s="109" t="s">
        <v>339</v>
      </c>
      <c r="F149" s="102">
        <v>2E-3</v>
      </c>
      <c r="G149" s="102">
        <v>6.8000000000000005E-2</v>
      </c>
      <c r="H149" s="102">
        <v>0.36699999999999999</v>
      </c>
      <c r="I149" t="s">
        <v>1154</v>
      </c>
      <c r="J149" s="3">
        <v>9.8699999999999992</v>
      </c>
      <c r="K149">
        <v>10</v>
      </c>
      <c r="L149">
        <v>9.64</v>
      </c>
      <c r="M149">
        <v>10</v>
      </c>
      <c r="N149">
        <v>10</v>
      </c>
      <c r="O149">
        <v>9.7100000000000009</v>
      </c>
      <c r="P149" s="113" t="s">
        <v>835</v>
      </c>
      <c r="Q149" s="106" t="s">
        <v>1311</v>
      </c>
      <c r="R149" s="11">
        <v>71.099999999999994</v>
      </c>
    </row>
    <row r="150" spans="1:18" x14ac:dyDescent="0.2">
      <c r="A150" t="s">
        <v>341</v>
      </c>
      <c r="B150" t="s">
        <v>342</v>
      </c>
      <c r="C150" t="s">
        <v>40</v>
      </c>
      <c r="D150" t="s">
        <v>47</v>
      </c>
      <c r="E150" s="109" t="s">
        <v>341</v>
      </c>
      <c r="F150" s="102">
        <v>0.39500000000000002</v>
      </c>
      <c r="G150" s="102">
        <v>0.16400000000000001</v>
      </c>
      <c r="H150" s="102">
        <v>0.51500000000000001</v>
      </c>
      <c r="I150" t="s">
        <v>1185</v>
      </c>
      <c r="J150" s="3">
        <v>3.04</v>
      </c>
      <c r="K150">
        <v>0</v>
      </c>
      <c r="L150">
        <v>3.93</v>
      </c>
      <c r="M150">
        <v>2.78</v>
      </c>
      <c r="N150">
        <v>4.38</v>
      </c>
      <c r="O150">
        <v>4.12</v>
      </c>
      <c r="P150" s="113" t="s">
        <v>831</v>
      </c>
      <c r="Q150" s="106" t="s">
        <v>1312</v>
      </c>
      <c r="R150" s="11">
        <v>73</v>
      </c>
    </row>
    <row r="151" spans="1:18" x14ac:dyDescent="0.2">
      <c r="A151" t="s">
        <v>343</v>
      </c>
      <c r="B151" t="s">
        <v>344</v>
      </c>
      <c r="C151" t="s">
        <v>31</v>
      </c>
      <c r="D151" t="s">
        <v>51</v>
      </c>
      <c r="E151" s="109" t="s">
        <v>343</v>
      </c>
      <c r="F151" s="102">
        <v>0.309</v>
      </c>
      <c r="G151" s="102">
        <v>0.17599999999999999</v>
      </c>
      <c r="H151" s="102">
        <v>0.53200000000000003</v>
      </c>
      <c r="I151" t="s">
        <v>1154</v>
      </c>
      <c r="J151" s="3">
        <v>4.17</v>
      </c>
      <c r="K151">
        <v>6.08</v>
      </c>
      <c r="L151">
        <v>5.36</v>
      </c>
      <c r="M151">
        <v>2.2200000000000002</v>
      </c>
      <c r="N151">
        <v>2.5</v>
      </c>
      <c r="O151">
        <v>4.71</v>
      </c>
      <c r="P151" s="113" t="s">
        <v>832</v>
      </c>
      <c r="Q151" s="106" t="s">
        <v>1313</v>
      </c>
      <c r="R151" s="11">
        <v>61</v>
      </c>
    </row>
    <row r="152" spans="1:18" x14ac:dyDescent="0.2">
      <c r="A152" t="s">
        <v>345</v>
      </c>
      <c r="B152" t="s">
        <v>346</v>
      </c>
      <c r="C152" t="s">
        <v>44</v>
      </c>
      <c r="D152" t="s">
        <v>47</v>
      </c>
      <c r="E152" s="109" t="s">
        <v>345</v>
      </c>
      <c r="F152" s="102">
        <v>0.16200000000000001</v>
      </c>
      <c r="G152" s="102">
        <v>0.41799999999999998</v>
      </c>
      <c r="H152" s="102">
        <v>0.83699999999999997</v>
      </c>
      <c r="I152" t="s">
        <v>1173</v>
      </c>
      <c r="J152" s="3" t="s">
        <v>33</v>
      </c>
      <c r="K152" t="s">
        <v>33</v>
      </c>
      <c r="L152" t="s">
        <v>33</v>
      </c>
      <c r="M152" t="s">
        <v>33</v>
      </c>
      <c r="N152" t="s">
        <v>33</v>
      </c>
      <c r="O152" t="s">
        <v>33</v>
      </c>
      <c r="P152" s="113" t="s">
        <v>833</v>
      </c>
      <c r="Q152" s="106" t="s">
        <v>1314</v>
      </c>
      <c r="R152" s="11">
        <v>55</v>
      </c>
    </row>
    <row r="153" spans="1:18" x14ac:dyDescent="0.2">
      <c r="A153" t="s">
        <v>347</v>
      </c>
      <c r="B153" t="s">
        <v>348</v>
      </c>
      <c r="C153" t="s">
        <v>54</v>
      </c>
      <c r="D153" t="s">
        <v>47</v>
      </c>
      <c r="E153" s="109" t="s">
        <v>347</v>
      </c>
      <c r="F153" s="102">
        <v>1.4E-2</v>
      </c>
      <c r="G153" s="102">
        <v>0.26400000000000001</v>
      </c>
      <c r="H153" s="102">
        <v>0.621</v>
      </c>
      <c r="I153" t="s">
        <v>1154</v>
      </c>
      <c r="J153" s="3">
        <v>7.05</v>
      </c>
      <c r="K153">
        <v>9.58</v>
      </c>
      <c r="L153">
        <v>6.07</v>
      </c>
      <c r="M153">
        <v>6.67</v>
      </c>
      <c r="N153">
        <v>5</v>
      </c>
      <c r="O153">
        <v>7.94</v>
      </c>
      <c r="P153" s="113" t="s">
        <v>834</v>
      </c>
      <c r="Q153" s="106" t="s">
        <v>1315</v>
      </c>
      <c r="R153" s="11">
        <v>67.2</v>
      </c>
    </row>
    <row r="154" spans="1:18" x14ac:dyDescent="0.2">
      <c r="A154" t="s">
        <v>349</v>
      </c>
      <c r="B154" t="s">
        <v>350</v>
      </c>
      <c r="C154" t="s">
        <v>44</v>
      </c>
      <c r="D154" t="s">
        <v>51</v>
      </c>
      <c r="E154" s="109" t="s">
        <v>349</v>
      </c>
      <c r="F154" s="102">
        <v>0.183</v>
      </c>
      <c r="G154" s="102">
        <v>0.245</v>
      </c>
      <c r="H154" s="102">
        <v>0.60799999999999998</v>
      </c>
      <c r="I154" t="s">
        <v>1172</v>
      </c>
      <c r="J154" s="3">
        <v>6.03</v>
      </c>
      <c r="K154">
        <v>6.92</v>
      </c>
      <c r="L154">
        <v>6.07</v>
      </c>
      <c r="M154">
        <v>3.89</v>
      </c>
      <c r="N154">
        <v>5.63</v>
      </c>
      <c r="O154">
        <v>7.65</v>
      </c>
      <c r="P154" s="113" t="s">
        <v>834</v>
      </c>
      <c r="Q154" s="106" t="s">
        <v>1316</v>
      </c>
      <c r="R154" s="11">
        <v>58.4</v>
      </c>
    </row>
    <row r="155" spans="1:18" x14ac:dyDescent="0.2">
      <c r="A155" t="s">
        <v>351</v>
      </c>
      <c r="B155" t="s">
        <v>352</v>
      </c>
      <c r="C155" t="s">
        <v>54</v>
      </c>
      <c r="D155" t="s">
        <v>37</v>
      </c>
      <c r="E155" s="109" t="s">
        <v>351</v>
      </c>
      <c r="F155" s="102">
        <v>0.432</v>
      </c>
      <c r="G155" s="102">
        <v>0.16</v>
      </c>
      <c r="H155" s="102">
        <v>0.51100000000000001</v>
      </c>
      <c r="I155" t="s">
        <v>1154</v>
      </c>
      <c r="J155" s="3">
        <v>6.24</v>
      </c>
      <c r="K155">
        <v>8.75</v>
      </c>
      <c r="L155">
        <v>5.71</v>
      </c>
      <c r="M155">
        <v>5</v>
      </c>
      <c r="N155">
        <v>4.38</v>
      </c>
      <c r="O155">
        <v>7.35</v>
      </c>
      <c r="P155" s="113" t="s">
        <v>834</v>
      </c>
      <c r="Q155" s="106" t="s">
        <v>1317</v>
      </c>
      <c r="R155" s="11">
        <v>61.8</v>
      </c>
    </row>
    <row r="156" spans="1:18" x14ac:dyDescent="0.2">
      <c r="A156" t="s">
        <v>353</v>
      </c>
      <c r="B156" t="s">
        <v>354</v>
      </c>
      <c r="C156" t="s">
        <v>54</v>
      </c>
      <c r="D156" t="s">
        <v>37</v>
      </c>
      <c r="E156" s="109" t="s">
        <v>353</v>
      </c>
      <c r="F156" s="102">
        <v>7.1999999999999995E-2</v>
      </c>
      <c r="G156" s="102">
        <v>0.308</v>
      </c>
      <c r="H156" s="102">
        <v>0.69299999999999995</v>
      </c>
      <c r="I156" t="s">
        <v>1172</v>
      </c>
      <c r="J156" s="3">
        <v>6.6</v>
      </c>
      <c r="K156">
        <v>9.17</v>
      </c>
      <c r="L156">
        <v>5</v>
      </c>
      <c r="M156">
        <v>5.56</v>
      </c>
      <c r="N156">
        <v>5.63</v>
      </c>
      <c r="O156">
        <v>7.65</v>
      </c>
      <c r="P156" s="113" t="s">
        <v>834</v>
      </c>
      <c r="Q156" s="106" t="s">
        <v>1318</v>
      </c>
      <c r="R156" s="11">
        <v>67.8</v>
      </c>
    </row>
    <row r="157" spans="1:18" x14ac:dyDescent="0.2">
      <c r="A157" t="s">
        <v>355</v>
      </c>
      <c r="B157" t="s">
        <v>356</v>
      </c>
      <c r="C157" t="s">
        <v>44</v>
      </c>
      <c r="D157" t="s">
        <v>51</v>
      </c>
      <c r="E157" s="109" t="s">
        <v>355</v>
      </c>
      <c r="F157" s="102">
        <v>0.21099999999999999</v>
      </c>
      <c r="G157" s="102">
        <v>0.22500000000000001</v>
      </c>
      <c r="H157" s="102">
        <v>0.6</v>
      </c>
      <c r="I157" s="10" t="s">
        <v>1172</v>
      </c>
      <c r="J157" s="3">
        <v>6.71</v>
      </c>
      <c r="K157">
        <v>9.17</v>
      </c>
      <c r="L157">
        <v>5.71</v>
      </c>
      <c r="M157">
        <v>7.22</v>
      </c>
      <c r="N157">
        <v>4.38</v>
      </c>
      <c r="O157">
        <v>7.06</v>
      </c>
      <c r="P157" s="113" t="s">
        <v>834</v>
      </c>
      <c r="Q157" s="106" t="s">
        <v>1319</v>
      </c>
      <c r="R157" s="11">
        <v>63.8</v>
      </c>
    </row>
    <row r="158" spans="1:18" x14ac:dyDescent="0.2">
      <c r="A158" t="s">
        <v>357</v>
      </c>
      <c r="B158" t="s">
        <v>358</v>
      </c>
      <c r="C158" t="s">
        <v>36</v>
      </c>
      <c r="D158" t="s">
        <v>47</v>
      </c>
      <c r="E158" s="109" t="s">
        <v>357</v>
      </c>
      <c r="F158" s="102">
        <v>1E-3</v>
      </c>
      <c r="G158" s="102">
        <v>7.5999999999999998E-2</v>
      </c>
      <c r="H158" s="102">
        <v>0.40300000000000002</v>
      </c>
      <c r="I158" t="s">
        <v>1154</v>
      </c>
      <c r="J158" s="3">
        <v>6.67</v>
      </c>
      <c r="K158">
        <v>9.17</v>
      </c>
      <c r="L158">
        <v>6.07</v>
      </c>
      <c r="M158">
        <v>6.11</v>
      </c>
      <c r="N158">
        <v>4.38</v>
      </c>
      <c r="O158">
        <v>7.65</v>
      </c>
      <c r="P158" s="113" t="s">
        <v>834</v>
      </c>
      <c r="Q158" s="106" t="s">
        <v>1320</v>
      </c>
      <c r="R158" s="11">
        <v>67.8</v>
      </c>
    </row>
    <row r="159" spans="1:18" x14ac:dyDescent="0.2">
      <c r="A159" t="s">
        <v>359</v>
      </c>
      <c r="B159" t="s">
        <v>360</v>
      </c>
      <c r="C159" t="s">
        <v>36</v>
      </c>
      <c r="D159" t="s">
        <v>47</v>
      </c>
      <c r="E159" s="109" t="s">
        <v>359</v>
      </c>
      <c r="F159" s="102">
        <v>0.14000000000000001</v>
      </c>
      <c r="G159" s="102">
        <v>0.29499999999999998</v>
      </c>
      <c r="H159" s="102">
        <v>0.67400000000000004</v>
      </c>
      <c r="I159" t="s">
        <v>1172</v>
      </c>
      <c r="J159" s="3">
        <v>7.84</v>
      </c>
      <c r="K159">
        <v>9.58</v>
      </c>
      <c r="L159">
        <v>7.5</v>
      </c>
      <c r="M159">
        <v>6.11</v>
      </c>
      <c r="N159">
        <v>6.88</v>
      </c>
      <c r="O159">
        <v>9.1199999999999992</v>
      </c>
      <c r="P159" s="113" t="s">
        <v>834</v>
      </c>
      <c r="Q159" s="106" t="s">
        <v>1321</v>
      </c>
      <c r="R159" s="11">
        <v>65.3</v>
      </c>
    </row>
    <row r="160" spans="1:18" x14ac:dyDescent="0.2">
      <c r="A160" t="s">
        <v>361</v>
      </c>
      <c r="B160" t="s">
        <v>362</v>
      </c>
      <c r="C160" t="s">
        <v>54</v>
      </c>
      <c r="D160" t="s">
        <v>47</v>
      </c>
      <c r="E160" s="109" t="s">
        <v>361</v>
      </c>
      <c r="F160" s="102">
        <v>3.9E-2</v>
      </c>
      <c r="G160" s="102">
        <v>0.13100000000000001</v>
      </c>
      <c r="H160" s="102">
        <v>0.47499999999999998</v>
      </c>
      <c r="I160" t="s">
        <v>1185</v>
      </c>
      <c r="J160" s="3" t="s">
        <v>33</v>
      </c>
      <c r="K160" t="s">
        <v>33</v>
      </c>
      <c r="L160" t="s">
        <v>33</v>
      </c>
      <c r="M160" t="s">
        <v>33</v>
      </c>
      <c r="N160" t="s">
        <v>33</v>
      </c>
      <c r="O160" t="s">
        <v>33</v>
      </c>
      <c r="P160" s="113" t="s">
        <v>833</v>
      </c>
      <c r="Q160" s="106" t="s">
        <v>1322</v>
      </c>
      <c r="R160" s="11">
        <v>72.599999999999994</v>
      </c>
    </row>
    <row r="161" spans="1:18" x14ac:dyDescent="0.2">
      <c r="A161" t="s">
        <v>363</v>
      </c>
      <c r="B161" t="s">
        <v>364</v>
      </c>
      <c r="C161" t="s">
        <v>40</v>
      </c>
      <c r="D161" t="s">
        <v>47</v>
      </c>
      <c r="E161" s="109" t="s">
        <v>363</v>
      </c>
      <c r="F161" s="102">
        <v>0.47699999999999998</v>
      </c>
      <c r="G161" s="102">
        <v>0.11799999999999999</v>
      </c>
      <c r="H161" s="102">
        <v>0.436</v>
      </c>
      <c r="I161" t="s">
        <v>1185</v>
      </c>
      <c r="J161" s="3">
        <v>3.19</v>
      </c>
      <c r="K161">
        <v>0</v>
      </c>
      <c r="L161">
        <v>4.29</v>
      </c>
      <c r="M161">
        <v>2.2200000000000002</v>
      </c>
      <c r="N161">
        <v>5.63</v>
      </c>
      <c r="O161">
        <v>3.82</v>
      </c>
      <c r="P161" s="113" t="s">
        <v>831</v>
      </c>
      <c r="Q161" s="106" t="s">
        <v>1323</v>
      </c>
      <c r="R161" s="11">
        <v>39.700000000000003</v>
      </c>
    </row>
    <row r="162" spans="1:18" x14ac:dyDescent="0.2">
      <c r="A162" t="s">
        <v>365</v>
      </c>
      <c r="B162" t="s">
        <v>366</v>
      </c>
      <c r="C162" t="s">
        <v>36</v>
      </c>
      <c r="D162" t="s">
        <v>37</v>
      </c>
      <c r="E162" s="109" t="s">
        <v>365</v>
      </c>
      <c r="F162" s="102">
        <v>0.12</v>
      </c>
      <c r="G162" s="102">
        <v>0.222</v>
      </c>
      <c r="H162" s="102">
        <v>0.58799999999999997</v>
      </c>
      <c r="I162" t="s">
        <v>1185</v>
      </c>
      <c r="J162" s="3">
        <v>6.38</v>
      </c>
      <c r="K162">
        <v>9.17</v>
      </c>
      <c r="L162">
        <v>5.71</v>
      </c>
      <c r="M162">
        <v>5</v>
      </c>
      <c r="N162">
        <v>4.38</v>
      </c>
      <c r="O162">
        <v>7.65</v>
      </c>
      <c r="P162" s="113" t="s">
        <v>834</v>
      </c>
      <c r="Q162" s="106" t="s">
        <v>1324</v>
      </c>
      <c r="R162" s="11">
        <v>68.599999999999994</v>
      </c>
    </row>
    <row r="163" spans="1:18" x14ac:dyDescent="0.2">
      <c r="A163" t="s">
        <v>367</v>
      </c>
      <c r="B163" t="s">
        <v>368</v>
      </c>
      <c r="C163" t="s">
        <v>36</v>
      </c>
      <c r="D163" t="s">
        <v>37</v>
      </c>
      <c r="E163" s="109" t="s">
        <v>1555</v>
      </c>
      <c r="F163" s="102">
        <v>0.03</v>
      </c>
      <c r="G163" s="102">
        <v>0.16</v>
      </c>
      <c r="H163" s="102">
        <v>0.51300000000000001</v>
      </c>
      <c r="I163" t="s">
        <v>1154</v>
      </c>
      <c r="J163" s="3">
        <v>2.94</v>
      </c>
      <c r="K163">
        <v>2.17</v>
      </c>
      <c r="L163">
        <v>1.79</v>
      </c>
      <c r="M163">
        <v>5</v>
      </c>
      <c r="N163">
        <v>2.5</v>
      </c>
      <c r="O163">
        <v>3.24</v>
      </c>
      <c r="P163" s="113" t="s">
        <v>831</v>
      </c>
      <c r="Q163" s="106" t="s">
        <v>1325</v>
      </c>
      <c r="R163" s="11">
        <v>58.9</v>
      </c>
    </row>
    <row r="164" spans="1:18" x14ac:dyDescent="0.2">
      <c r="A164" t="s">
        <v>369</v>
      </c>
      <c r="B164" t="s">
        <v>370</v>
      </c>
      <c r="C164" t="s">
        <v>50</v>
      </c>
      <c r="D164" t="s">
        <v>32</v>
      </c>
      <c r="E164" s="109" t="s">
        <v>369</v>
      </c>
      <c r="F164" s="102">
        <v>2.1999999999999999E-2</v>
      </c>
      <c r="G164" s="102">
        <v>0.39300000000000002</v>
      </c>
      <c r="H164" s="102">
        <v>0.80200000000000005</v>
      </c>
      <c r="I164" t="s">
        <v>1173</v>
      </c>
      <c r="J164" s="3">
        <v>3.35</v>
      </c>
      <c r="K164">
        <v>1.67</v>
      </c>
      <c r="L164">
        <v>5</v>
      </c>
      <c r="M164">
        <v>2.78</v>
      </c>
      <c r="N164">
        <v>4.38</v>
      </c>
      <c r="O164">
        <v>2.94</v>
      </c>
      <c r="P164" s="113" t="s">
        <v>831</v>
      </c>
      <c r="Q164" s="106" t="s">
        <v>1326</v>
      </c>
      <c r="R164" s="11">
        <v>71.099999999999994</v>
      </c>
    </row>
    <row r="165" spans="1:18" x14ac:dyDescent="0.2">
      <c r="A165" t="s">
        <v>371</v>
      </c>
      <c r="B165" t="s">
        <v>372</v>
      </c>
      <c r="C165" t="s">
        <v>44</v>
      </c>
      <c r="D165" t="s">
        <v>37</v>
      </c>
      <c r="E165" s="109" t="s">
        <v>371</v>
      </c>
      <c r="F165" s="102">
        <v>9.6000000000000002E-2</v>
      </c>
      <c r="G165" s="102">
        <v>0.35299999999999998</v>
      </c>
      <c r="H165" s="102">
        <v>0.746</v>
      </c>
      <c r="I165" t="s">
        <v>1173</v>
      </c>
      <c r="J165" s="3" t="s">
        <v>33</v>
      </c>
      <c r="K165" t="s">
        <v>33</v>
      </c>
      <c r="L165" t="s">
        <v>33</v>
      </c>
      <c r="M165" t="s">
        <v>33</v>
      </c>
      <c r="N165" t="s">
        <v>33</v>
      </c>
      <c r="O165" t="s">
        <v>33</v>
      </c>
      <c r="P165" s="113" t="s">
        <v>833</v>
      </c>
      <c r="Q165" s="106" t="s">
        <v>1327</v>
      </c>
      <c r="R165" s="11">
        <v>68.7</v>
      </c>
    </row>
    <row r="166" spans="1:18" x14ac:dyDescent="0.2">
      <c r="A166" t="s">
        <v>373</v>
      </c>
      <c r="B166" t="s">
        <v>374</v>
      </c>
      <c r="C166" t="s">
        <v>36</v>
      </c>
      <c r="D166" t="s">
        <v>47</v>
      </c>
      <c r="E166" s="109" t="s">
        <v>373</v>
      </c>
      <c r="F166" s="102">
        <v>0.14599999999999999</v>
      </c>
      <c r="G166" s="102">
        <v>0.312</v>
      </c>
      <c r="H166" s="102">
        <v>0.7</v>
      </c>
      <c r="I166" t="s">
        <v>1172</v>
      </c>
      <c r="J166" s="3" t="s">
        <v>33</v>
      </c>
      <c r="K166" t="s">
        <v>33</v>
      </c>
      <c r="L166" t="s">
        <v>33</v>
      </c>
      <c r="M166" t="s">
        <v>33</v>
      </c>
      <c r="N166" t="s">
        <v>33</v>
      </c>
      <c r="O166" t="s">
        <v>33</v>
      </c>
      <c r="P166" s="113" t="s">
        <v>833</v>
      </c>
      <c r="Q166" s="106" t="s">
        <v>1328</v>
      </c>
      <c r="R166" s="11">
        <v>65.8</v>
      </c>
    </row>
    <row r="167" spans="1:18" x14ac:dyDescent="0.2">
      <c r="A167" t="s">
        <v>375</v>
      </c>
      <c r="B167" t="s">
        <v>376</v>
      </c>
      <c r="C167" t="s">
        <v>50</v>
      </c>
      <c r="D167" t="s">
        <v>51</v>
      </c>
      <c r="E167" s="109" t="s">
        <v>1556</v>
      </c>
      <c r="F167" s="102">
        <v>1E-3</v>
      </c>
      <c r="G167" s="102">
        <v>0.39200000000000002</v>
      </c>
      <c r="H167" s="102">
        <v>0.78800000000000003</v>
      </c>
      <c r="I167" t="s">
        <v>1173</v>
      </c>
      <c r="J167" s="3" t="s">
        <v>33</v>
      </c>
      <c r="K167" t="s">
        <v>33</v>
      </c>
      <c r="L167" t="s">
        <v>33</v>
      </c>
      <c r="M167" t="s">
        <v>33</v>
      </c>
      <c r="N167" t="s">
        <v>33</v>
      </c>
      <c r="O167" t="s">
        <v>33</v>
      </c>
      <c r="P167" s="113" t="s">
        <v>833</v>
      </c>
      <c r="Q167" s="106" t="s">
        <v>1329</v>
      </c>
      <c r="R167" s="11">
        <v>62.2</v>
      </c>
    </row>
    <row r="168" spans="1:18" x14ac:dyDescent="0.2">
      <c r="A168" t="s">
        <v>377</v>
      </c>
      <c r="B168" t="s">
        <v>378</v>
      </c>
      <c r="C168" t="s">
        <v>40</v>
      </c>
      <c r="D168" t="s">
        <v>47</v>
      </c>
      <c r="E168" s="109" t="s">
        <v>1557</v>
      </c>
      <c r="F168" s="102">
        <v>2.4E-2</v>
      </c>
      <c r="G168" s="102">
        <v>0.157</v>
      </c>
      <c r="H168" s="102">
        <v>0.50700000000000001</v>
      </c>
      <c r="I168" t="s">
        <v>1185</v>
      </c>
      <c r="J168" s="3">
        <v>1.93</v>
      </c>
      <c r="K168">
        <v>0</v>
      </c>
      <c r="L168">
        <v>2.86</v>
      </c>
      <c r="M168">
        <v>2.2200000000000002</v>
      </c>
      <c r="N168">
        <v>3.13</v>
      </c>
      <c r="O168">
        <v>1.47</v>
      </c>
      <c r="P168" s="113" t="s">
        <v>831</v>
      </c>
      <c r="Q168" s="106" t="s">
        <v>1330</v>
      </c>
      <c r="R168" s="11">
        <v>54</v>
      </c>
    </row>
    <row r="169" spans="1:18" x14ac:dyDescent="0.2">
      <c r="A169" t="s">
        <v>379</v>
      </c>
      <c r="B169" t="s">
        <v>380</v>
      </c>
      <c r="C169" t="s">
        <v>50</v>
      </c>
      <c r="D169" t="s">
        <v>32</v>
      </c>
      <c r="E169" s="109" t="s">
        <v>379</v>
      </c>
      <c r="F169" s="102">
        <v>2.9000000000000001E-2</v>
      </c>
      <c r="G169" s="102">
        <v>0.14199999999999999</v>
      </c>
      <c r="H169" s="102">
        <v>0.48599999999999999</v>
      </c>
      <c r="I169" t="s">
        <v>1154</v>
      </c>
      <c r="J169" s="3">
        <v>6.15</v>
      </c>
      <c r="K169">
        <v>7.5</v>
      </c>
      <c r="L169">
        <v>6.07</v>
      </c>
      <c r="M169">
        <v>4.4400000000000004</v>
      </c>
      <c r="N169">
        <v>6.25</v>
      </c>
      <c r="O169">
        <v>6.47</v>
      </c>
      <c r="P169" s="113" t="s">
        <v>834</v>
      </c>
      <c r="Q169" s="106" t="s">
        <v>1331</v>
      </c>
      <c r="R169" s="11">
        <v>60.7</v>
      </c>
    </row>
    <row r="170" spans="1:18" x14ac:dyDescent="0.2">
      <c r="A170" t="s">
        <v>381</v>
      </c>
      <c r="B170" t="s">
        <v>382</v>
      </c>
      <c r="C170" t="s">
        <v>36</v>
      </c>
      <c r="D170" t="s">
        <v>37</v>
      </c>
      <c r="E170" s="109" t="s">
        <v>381</v>
      </c>
      <c r="F170" s="102">
        <v>3.9E-2</v>
      </c>
      <c r="G170" s="102">
        <v>0.224</v>
      </c>
      <c r="H170" s="102">
        <v>0.59499999999999997</v>
      </c>
      <c r="I170" t="s">
        <v>1185</v>
      </c>
      <c r="J170" s="3">
        <v>6.41</v>
      </c>
      <c r="K170">
        <v>8.25</v>
      </c>
      <c r="L170">
        <v>5.36</v>
      </c>
      <c r="M170">
        <v>6.11</v>
      </c>
      <c r="N170">
        <v>5</v>
      </c>
      <c r="O170">
        <v>7.35</v>
      </c>
      <c r="P170" s="113" t="s">
        <v>834</v>
      </c>
      <c r="Q170" s="106" t="s">
        <v>1332</v>
      </c>
      <c r="R170" s="11">
        <v>56.3</v>
      </c>
    </row>
    <row r="171" spans="1:18" x14ac:dyDescent="0.2">
      <c r="A171" t="s">
        <v>383</v>
      </c>
      <c r="B171" t="s">
        <v>384</v>
      </c>
      <c r="C171" t="s">
        <v>50</v>
      </c>
      <c r="D171" t="s">
        <v>47</v>
      </c>
      <c r="E171" s="109" t="s">
        <v>383</v>
      </c>
      <c r="F171" s="102">
        <v>2E-3</v>
      </c>
      <c r="G171" s="102">
        <v>0.503</v>
      </c>
      <c r="H171" s="102">
        <v>0.88700000000000001</v>
      </c>
      <c r="I171" t="s">
        <v>1173</v>
      </c>
      <c r="J171" s="3" t="s">
        <v>33</v>
      </c>
      <c r="K171" t="s">
        <v>33</v>
      </c>
      <c r="L171" t="s">
        <v>33</v>
      </c>
      <c r="M171" t="s">
        <v>33</v>
      </c>
      <c r="N171" t="s">
        <v>33</v>
      </c>
      <c r="O171" t="s">
        <v>33</v>
      </c>
      <c r="P171" s="113" t="s">
        <v>833</v>
      </c>
      <c r="Q171" s="106" t="s">
        <v>1333</v>
      </c>
      <c r="R171" s="11">
        <v>63.9</v>
      </c>
    </row>
    <row r="172" spans="1:18" x14ac:dyDescent="0.2">
      <c r="A172" t="s">
        <v>385</v>
      </c>
      <c r="B172" t="s">
        <v>386</v>
      </c>
      <c r="C172" t="s">
        <v>50</v>
      </c>
      <c r="D172" t="s">
        <v>32</v>
      </c>
      <c r="E172" s="109" t="s">
        <v>385</v>
      </c>
      <c r="F172" s="102">
        <v>1.2E-2</v>
      </c>
      <c r="G172" s="102">
        <v>0.56599999999999995</v>
      </c>
      <c r="H172" s="102">
        <v>0.93100000000000005</v>
      </c>
      <c r="I172" t="s">
        <v>1173</v>
      </c>
      <c r="J172" s="3">
        <v>4.66</v>
      </c>
      <c r="K172">
        <v>6.58</v>
      </c>
      <c r="L172">
        <v>1.86</v>
      </c>
      <c r="M172">
        <v>3.33</v>
      </c>
      <c r="N172">
        <v>6.25</v>
      </c>
      <c r="O172">
        <v>5.29</v>
      </c>
      <c r="P172" s="113" t="s">
        <v>832</v>
      </c>
      <c r="Q172" s="106" t="s">
        <v>1334</v>
      </c>
      <c r="R172" s="11">
        <v>61.4</v>
      </c>
    </row>
    <row r="173" spans="1:18" x14ac:dyDescent="0.2">
      <c r="A173" t="s">
        <v>387</v>
      </c>
      <c r="B173" t="s">
        <v>388</v>
      </c>
      <c r="C173" t="s">
        <v>44</v>
      </c>
      <c r="D173" t="s">
        <v>47</v>
      </c>
      <c r="E173" s="109" t="s">
        <v>387</v>
      </c>
      <c r="F173" s="102">
        <v>2.1000000000000001E-2</v>
      </c>
      <c r="G173" s="102">
        <v>0.23899999999999999</v>
      </c>
      <c r="H173" s="102">
        <v>0.60399999999999998</v>
      </c>
      <c r="I173" t="s">
        <v>1154</v>
      </c>
      <c r="J173" s="3">
        <v>6.38</v>
      </c>
      <c r="K173">
        <v>4.33</v>
      </c>
      <c r="L173">
        <v>7.86</v>
      </c>
      <c r="M173">
        <v>6.11</v>
      </c>
      <c r="N173">
        <v>6.25</v>
      </c>
      <c r="O173">
        <v>7.35</v>
      </c>
      <c r="P173" s="113" t="s">
        <v>834</v>
      </c>
      <c r="Q173" s="106" t="s">
        <v>1335</v>
      </c>
      <c r="R173" s="11">
        <v>47.5</v>
      </c>
    </row>
    <row r="174" spans="1:18" x14ac:dyDescent="0.2">
      <c r="A174" t="s">
        <v>389</v>
      </c>
      <c r="B174" t="s">
        <v>390</v>
      </c>
      <c r="C174" t="s">
        <v>54</v>
      </c>
      <c r="D174" t="s">
        <v>47</v>
      </c>
      <c r="E174" s="109" t="s">
        <v>1558</v>
      </c>
      <c r="F174" s="102">
        <v>2.5999999999999999E-2</v>
      </c>
      <c r="G174" s="102">
        <v>0.442</v>
      </c>
      <c r="H174" s="102">
        <v>0.84499999999999997</v>
      </c>
      <c r="I174" t="s">
        <v>1173</v>
      </c>
      <c r="J174" s="3" t="s">
        <v>33</v>
      </c>
      <c r="K174" t="s">
        <v>33</v>
      </c>
      <c r="L174" t="s">
        <v>33</v>
      </c>
      <c r="M174" t="s">
        <v>33</v>
      </c>
      <c r="N174" t="s">
        <v>33</v>
      </c>
      <c r="O174" t="s">
        <v>33</v>
      </c>
      <c r="P174" s="113" t="s">
        <v>833</v>
      </c>
      <c r="Q174" s="106" t="s">
        <v>1336</v>
      </c>
      <c r="R174" s="11">
        <v>89.4</v>
      </c>
    </row>
    <row r="175" spans="1:18" x14ac:dyDescent="0.2">
      <c r="A175" t="s">
        <v>391</v>
      </c>
      <c r="B175" t="s">
        <v>392</v>
      </c>
      <c r="C175" t="s">
        <v>36</v>
      </c>
      <c r="D175" t="s">
        <v>47</v>
      </c>
      <c r="E175" s="109" t="s">
        <v>1559</v>
      </c>
      <c r="F175" s="102">
        <v>0.04</v>
      </c>
      <c r="G175" s="102">
        <v>0.22700000000000001</v>
      </c>
      <c r="H175" s="102">
        <v>0.59799999999999998</v>
      </c>
      <c r="I175" t="s">
        <v>1172</v>
      </c>
      <c r="J175" s="3">
        <v>7.1</v>
      </c>
      <c r="K175">
        <v>9.58</v>
      </c>
      <c r="L175">
        <v>6.79</v>
      </c>
      <c r="M175">
        <v>5.56</v>
      </c>
      <c r="N175">
        <v>5.63</v>
      </c>
      <c r="O175">
        <v>7.94</v>
      </c>
      <c r="P175" s="113" t="s">
        <v>834</v>
      </c>
      <c r="Q175" s="106" t="s">
        <v>1337</v>
      </c>
      <c r="R175" s="11">
        <v>65</v>
      </c>
    </row>
    <row r="176" spans="1:18" x14ac:dyDescent="0.2">
      <c r="A176" t="s">
        <v>393</v>
      </c>
      <c r="B176" t="s">
        <v>394</v>
      </c>
      <c r="C176" t="s">
        <v>36</v>
      </c>
      <c r="D176" t="s">
        <v>47</v>
      </c>
      <c r="E176" s="109" t="s">
        <v>393</v>
      </c>
      <c r="F176" s="102">
        <v>0.23</v>
      </c>
      <c r="G176" s="102">
        <v>0.21099999999999999</v>
      </c>
      <c r="H176" s="102">
        <v>0.56999999999999995</v>
      </c>
      <c r="I176" t="s">
        <v>1185</v>
      </c>
      <c r="J176" s="3">
        <v>7.5</v>
      </c>
      <c r="K176">
        <v>9.58</v>
      </c>
      <c r="L176">
        <v>6.79</v>
      </c>
      <c r="M176">
        <v>6.67</v>
      </c>
      <c r="N176">
        <v>6.25</v>
      </c>
      <c r="O176">
        <v>8.24</v>
      </c>
      <c r="P176" s="113" t="s">
        <v>834</v>
      </c>
      <c r="Q176" s="106" t="s">
        <v>1338</v>
      </c>
      <c r="R176" s="11">
        <v>65.5</v>
      </c>
    </row>
    <row r="177" spans="1:18" x14ac:dyDescent="0.2">
      <c r="A177" t="s">
        <v>395</v>
      </c>
      <c r="B177" t="s">
        <v>396</v>
      </c>
      <c r="C177" t="s">
        <v>44</v>
      </c>
      <c r="D177" t="s">
        <v>51</v>
      </c>
      <c r="E177" s="109" t="s">
        <v>395</v>
      </c>
      <c r="F177" s="102">
        <v>6.0999999999999999E-2</v>
      </c>
      <c r="G177" s="102">
        <v>0.53500000000000003</v>
      </c>
      <c r="H177" s="102">
        <v>0.92300000000000004</v>
      </c>
      <c r="I177" t="s">
        <v>1173</v>
      </c>
      <c r="J177" s="3" t="s">
        <v>33</v>
      </c>
      <c r="K177" t="s">
        <v>33</v>
      </c>
      <c r="L177" t="s">
        <v>33</v>
      </c>
      <c r="M177" t="s">
        <v>33</v>
      </c>
      <c r="N177" t="s">
        <v>33</v>
      </c>
      <c r="O177" t="s">
        <v>33</v>
      </c>
      <c r="P177" s="113" t="s">
        <v>833</v>
      </c>
      <c r="Q177" s="106" t="s">
        <v>1339</v>
      </c>
      <c r="R177" s="11">
        <v>54.6</v>
      </c>
    </row>
    <row r="178" spans="1:18" x14ac:dyDescent="0.2">
      <c r="A178" t="s">
        <v>397</v>
      </c>
      <c r="B178" t="s">
        <v>398</v>
      </c>
      <c r="C178" t="s">
        <v>50</v>
      </c>
      <c r="D178" t="s">
        <v>32</v>
      </c>
      <c r="E178" s="109" t="s">
        <v>397</v>
      </c>
      <c r="F178" s="102">
        <v>4.0000000000000001E-3</v>
      </c>
      <c r="G178" s="102">
        <v>0.47799999999999998</v>
      </c>
      <c r="H178" s="102">
        <v>0.86899999999999999</v>
      </c>
      <c r="I178" t="s">
        <v>1173</v>
      </c>
      <c r="J178" s="3" t="s">
        <v>33</v>
      </c>
      <c r="K178" t="s">
        <v>33</v>
      </c>
      <c r="L178" t="s">
        <v>33</v>
      </c>
      <c r="M178" t="s">
        <v>33</v>
      </c>
      <c r="N178" t="s">
        <v>33</v>
      </c>
      <c r="O178" t="s">
        <v>33</v>
      </c>
      <c r="P178" s="113" t="s">
        <v>833</v>
      </c>
      <c r="R178" s="11"/>
    </row>
    <row r="179" spans="1:18" x14ac:dyDescent="0.2">
      <c r="A179" t="s">
        <v>399</v>
      </c>
      <c r="B179" t="s">
        <v>400</v>
      </c>
      <c r="C179" t="s">
        <v>50</v>
      </c>
      <c r="D179" t="s">
        <v>37</v>
      </c>
      <c r="E179" s="109" t="s">
        <v>1560</v>
      </c>
      <c r="F179" s="102">
        <v>0.20899999999999999</v>
      </c>
      <c r="G179" s="102">
        <v>0.33200000000000002</v>
      </c>
      <c r="H179" s="102">
        <v>0.73399999999999999</v>
      </c>
      <c r="I179" t="s">
        <v>1172</v>
      </c>
      <c r="J179" s="3">
        <v>7.24</v>
      </c>
      <c r="K179">
        <v>7.42</v>
      </c>
      <c r="L179">
        <v>7.5</v>
      </c>
      <c r="M179">
        <v>8.33</v>
      </c>
      <c r="N179">
        <v>5</v>
      </c>
      <c r="O179">
        <v>7.94</v>
      </c>
      <c r="P179" s="113" t="s">
        <v>834</v>
      </c>
      <c r="Q179" s="106" t="s">
        <v>1340</v>
      </c>
      <c r="R179" s="11">
        <v>58.3</v>
      </c>
    </row>
    <row r="180" spans="1:18" x14ac:dyDescent="0.2">
      <c r="A180" t="s">
        <v>401</v>
      </c>
      <c r="B180" t="s">
        <v>402</v>
      </c>
      <c r="C180" t="s">
        <v>50</v>
      </c>
      <c r="D180" t="s">
        <v>32</v>
      </c>
      <c r="E180" s="110" t="s">
        <v>415</v>
      </c>
      <c r="F180" s="102">
        <v>9.0999999999999998E-2</v>
      </c>
      <c r="G180" s="102">
        <v>0.56699999999999995</v>
      </c>
      <c r="H180" s="102">
        <v>0.93700000000000006</v>
      </c>
      <c r="I180" t="s">
        <v>1173</v>
      </c>
      <c r="J180" s="3" t="s">
        <v>33</v>
      </c>
      <c r="K180" t="s">
        <v>33</v>
      </c>
      <c r="L180" t="s">
        <v>33</v>
      </c>
      <c r="M180" t="s">
        <v>33</v>
      </c>
      <c r="N180" t="s">
        <v>33</v>
      </c>
      <c r="O180" t="s">
        <v>33</v>
      </c>
      <c r="P180" s="113" t="s">
        <v>833</v>
      </c>
      <c r="R180" s="10"/>
    </row>
    <row r="181" spans="1:18" x14ac:dyDescent="0.2">
      <c r="A181" t="s">
        <v>403</v>
      </c>
      <c r="B181" t="s">
        <v>404</v>
      </c>
      <c r="C181" t="s">
        <v>36</v>
      </c>
      <c r="D181" t="s">
        <v>47</v>
      </c>
      <c r="E181" s="109" t="s">
        <v>403</v>
      </c>
      <c r="F181" s="102">
        <v>7.0000000000000001E-3</v>
      </c>
      <c r="G181" s="102">
        <v>0.25600000000000001</v>
      </c>
      <c r="H181" s="102">
        <v>0.61399999999999999</v>
      </c>
      <c r="I181" t="s">
        <v>1154</v>
      </c>
      <c r="J181" s="3">
        <v>8.08</v>
      </c>
      <c r="K181">
        <v>9.17</v>
      </c>
      <c r="L181">
        <v>7.14</v>
      </c>
      <c r="M181">
        <v>7.78</v>
      </c>
      <c r="N181">
        <v>7.5</v>
      </c>
      <c r="O181">
        <v>8.82</v>
      </c>
      <c r="P181" s="113" t="s">
        <v>835</v>
      </c>
      <c r="Q181" s="106" t="s">
        <v>1341</v>
      </c>
      <c r="R181" s="11">
        <v>65.7</v>
      </c>
    </row>
    <row r="182" spans="1:18" x14ac:dyDescent="0.2">
      <c r="A182" t="s">
        <v>405</v>
      </c>
      <c r="B182" t="s">
        <v>406</v>
      </c>
      <c r="C182" t="s">
        <v>31</v>
      </c>
      <c r="D182" t="s">
        <v>51</v>
      </c>
      <c r="E182" s="109" t="s">
        <v>405</v>
      </c>
      <c r="F182" s="102">
        <v>0.28599999999999998</v>
      </c>
      <c r="G182" s="102">
        <v>0.154</v>
      </c>
      <c r="H182" s="102">
        <v>0.497</v>
      </c>
      <c r="I182" t="s">
        <v>1154</v>
      </c>
      <c r="J182" s="3">
        <v>6.19</v>
      </c>
      <c r="K182">
        <v>7.83</v>
      </c>
      <c r="L182">
        <v>5.71</v>
      </c>
      <c r="M182">
        <v>5</v>
      </c>
      <c r="N182">
        <v>6.25</v>
      </c>
      <c r="O182">
        <v>6.18</v>
      </c>
      <c r="P182" s="113" t="s">
        <v>834</v>
      </c>
      <c r="Q182" s="106" t="s">
        <v>1342</v>
      </c>
      <c r="R182" s="11">
        <v>56.4</v>
      </c>
    </row>
    <row r="183" spans="1:18" x14ac:dyDescent="0.2">
      <c r="A183" t="s">
        <v>407</v>
      </c>
      <c r="B183" t="s">
        <v>408</v>
      </c>
      <c r="C183" t="s">
        <v>54</v>
      </c>
      <c r="D183" t="s">
        <v>47</v>
      </c>
      <c r="E183" s="109" t="s">
        <v>1561</v>
      </c>
      <c r="F183" s="102">
        <v>0.24399999999999999</v>
      </c>
      <c r="G183" s="102">
        <v>0.191</v>
      </c>
      <c r="H183" s="102">
        <v>0.54500000000000004</v>
      </c>
      <c r="I183" t="s">
        <v>1154</v>
      </c>
      <c r="J183" s="3" t="s">
        <v>33</v>
      </c>
      <c r="K183" t="s">
        <v>33</v>
      </c>
      <c r="L183" t="s">
        <v>33</v>
      </c>
      <c r="M183" t="s">
        <v>33</v>
      </c>
      <c r="N183" t="s">
        <v>33</v>
      </c>
      <c r="O183" t="s">
        <v>33</v>
      </c>
      <c r="P183" s="113" t="s">
        <v>833</v>
      </c>
      <c r="R183" s="11"/>
    </row>
    <row r="184" spans="1:18" x14ac:dyDescent="0.2">
      <c r="A184" t="s">
        <v>409</v>
      </c>
      <c r="B184" t="s">
        <v>410</v>
      </c>
      <c r="C184" t="s">
        <v>54</v>
      </c>
      <c r="D184" t="s">
        <v>37</v>
      </c>
      <c r="E184" s="109" t="s">
        <v>1562</v>
      </c>
      <c r="F184" s="102">
        <v>5.6000000000000001E-2</v>
      </c>
      <c r="G184" s="102">
        <v>0.33</v>
      </c>
      <c r="H184" s="102">
        <v>0.70899999999999996</v>
      </c>
      <c r="I184" t="s">
        <v>1172</v>
      </c>
      <c r="J184" s="3" t="s">
        <v>33</v>
      </c>
      <c r="K184" t="s">
        <v>33</v>
      </c>
      <c r="L184" t="s">
        <v>33</v>
      </c>
      <c r="M184" t="s">
        <v>33</v>
      </c>
      <c r="N184" t="s">
        <v>33</v>
      </c>
      <c r="O184" t="s">
        <v>33</v>
      </c>
      <c r="P184" s="113" t="s">
        <v>833</v>
      </c>
      <c r="R184" s="11"/>
    </row>
    <row r="185" spans="1:18" x14ac:dyDescent="0.2">
      <c r="A185" t="s">
        <v>411</v>
      </c>
      <c r="B185" t="s">
        <v>412</v>
      </c>
      <c r="C185" t="s">
        <v>54</v>
      </c>
      <c r="D185" t="s">
        <v>47</v>
      </c>
      <c r="E185" s="109" t="s">
        <v>1563</v>
      </c>
      <c r="F185" s="102">
        <v>0.13800000000000001</v>
      </c>
      <c r="G185" s="102">
        <v>0.378</v>
      </c>
      <c r="H185" s="102">
        <v>0.77300000000000002</v>
      </c>
      <c r="I185" t="s">
        <v>1173</v>
      </c>
      <c r="J185" s="3" t="s">
        <v>33</v>
      </c>
      <c r="K185" t="s">
        <v>33</v>
      </c>
      <c r="L185" t="s">
        <v>33</v>
      </c>
      <c r="M185" t="s">
        <v>33</v>
      </c>
      <c r="N185" t="s">
        <v>33</v>
      </c>
      <c r="O185" t="s">
        <v>33</v>
      </c>
      <c r="P185" s="113" t="s">
        <v>833</v>
      </c>
      <c r="R185" s="11"/>
    </row>
    <row r="186" spans="1:18" x14ac:dyDescent="0.2">
      <c r="A186" t="s">
        <v>413</v>
      </c>
      <c r="B186" t="s">
        <v>414</v>
      </c>
      <c r="C186" t="s">
        <v>54</v>
      </c>
      <c r="D186" t="s">
        <v>37</v>
      </c>
      <c r="E186" s="109" t="s">
        <v>1564</v>
      </c>
      <c r="F186" s="102">
        <v>3.3000000000000002E-2</v>
      </c>
      <c r="G186" s="102">
        <v>0.51</v>
      </c>
      <c r="H186" s="102">
        <v>0.9</v>
      </c>
      <c r="I186" t="s">
        <v>1173</v>
      </c>
      <c r="J186" s="3" t="s">
        <v>33</v>
      </c>
      <c r="K186" t="s">
        <v>33</v>
      </c>
      <c r="L186" t="s">
        <v>33</v>
      </c>
      <c r="M186" t="s">
        <v>33</v>
      </c>
      <c r="N186" t="s">
        <v>33</v>
      </c>
      <c r="O186" t="s">
        <v>33</v>
      </c>
      <c r="P186" s="113" t="s">
        <v>833</v>
      </c>
      <c r="R186" s="11"/>
    </row>
    <row r="187" spans="1:18" x14ac:dyDescent="0.2">
      <c r="A187" t="s">
        <v>415</v>
      </c>
      <c r="B187" t="s">
        <v>416</v>
      </c>
      <c r="C187" t="s">
        <v>50</v>
      </c>
      <c r="D187" t="s">
        <v>51</v>
      </c>
      <c r="E187" s="109" t="s">
        <v>415</v>
      </c>
      <c r="F187" s="102">
        <v>9.0999999999999998E-2</v>
      </c>
      <c r="G187" s="102">
        <v>0.56699999999999995</v>
      </c>
      <c r="H187" s="102">
        <v>0.93700000000000006</v>
      </c>
      <c r="I187" t="s">
        <v>1173</v>
      </c>
      <c r="J187" s="3">
        <v>2.15</v>
      </c>
      <c r="K187">
        <v>0</v>
      </c>
      <c r="L187">
        <v>1.79</v>
      </c>
      <c r="M187">
        <v>2.78</v>
      </c>
      <c r="N187">
        <v>5</v>
      </c>
      <c r="O187">
        <v>1.18</v>
      </c>
      <c r="P187" s="113" t="s">
        <v>831</v>
      </c>
      <c r="Q187" s="106" t="s">
        <v>1343</v>
      </c>
      <c r="R187" s="11">
        <v>47.7</v>
      </c>
    </row>
    <row r="188" spans="1:18" x14ac:dyDescent="0.2">
      <c r="A188" t="s">
        <v>417</v>
      </c>
      <c r="B188" t="s">
        <v>418</v>
      </c>
      <c r="C188" t="s">
        <v>54</v>
      </c>
      <c r="D188" t="s">
        <v>37</v>
      </c>
      <c r="E188" s="109" t="s">
        <v>417</v>
      </c>
      <c r="F188" s="102">
        <v>7.0000000000000001E-3</v>
      </c>
      <c r="G188" s="102">
        <v>0.307</v>
      </c>
      <c r="H188" s="102">
        <v>0.69099999999999995</v>
      </c>
      <c r="I188" t="s">
        <v>1172</v>
      </c>
      <c r="J188" s="3">
        <v>6.98</v>
      </c>
      <c r="K188">
        <v>9.17</v>
      </c>
      <c r="L188">
        <v>6.43</v>
      </c>
      <c r="M188">
        <v>6.67</v>
      </c>
      <c r="N188">
        <v>5</v>
      </c>
      <c r="O188">
        <v>7.65</v>
      </c>
      <c r="P188" s="113" t="s">
        <v>834</v>
      </c>
      <c r="Q188" s="106" t="s">
        <v>1344</v>
      </c>
      <c r="R188" s="11">
        <v>48.1</v>
      </c>
    </row>
    <row r="189" spans="1:18" x14ac:dyDescent="0.2">
      <c r="A189" t="s">
        <v>419</v>
      </c>
      <c r="B189" t="s">
        <v>420</v>
      </c>
      <c r="C189" t="s">
        <v>50</v>
      </c>
      <c r="D189" t="s">
        <v>51</v>
      </c>
      <c r="E189" s="109"/>
      <c r="F189" s="102"/>
      <c r="G189" s="102"/>
      <c r="H189" s="102"/>
      <c r="J189" s="3">
        <v>3.03</v>
      </c>
      <c r="K189">
        <v>0.92</v>
      </c>
      <c r="L189">
        <v>2.86</v>
      </c>
      <c r="M189">
        <v>2.2200000000000002</v>
      </c>
      <c r="N189">
        <v>5.63</v>
      </c>
      <c r="O189">
        <v>3.53</v>
      </c>
      <c r="P189" s="113" t="s">
        <v>831</v>
      </c>
      <c r="Q189" s="106" t="s">
        <v>1345</v>
      </c>
      <c r="R189" s="11">
        <v>54.7</v>
      </c>
    </row>
    <row r="190" spans="1:18" x14ac:dyDescent="0.2">
      <c r="A190" t="s">
        <v>421</v>
      </c>
      <c r="B190" t="s">
        <v>422</v>
      </c>
      <c r="C190" t="s">
        <v>36</v>
      </c>
      <c r="D190" t="s">
        <v>47</v>
      </c>
      <c r="E190" s="109" t="s">
        <v>421</v>
      </c>
      <c r="F190" s="102">
        <v>1.7999999999999999E-2</v>
      </c>
      <c r="G190" s="102">
        <v>0.20799999999999999</v>
      </c>
      <c r="H190" s="102">
        <v>0.56799999999999995</v>
      </c>
      <c r="I190" t="s">
        <v>1185</v>
      </c>
      <c r="J190" s="3">
        <v>9.39</v>
      </c>
      <c r="K190">
        <v>9.58</v>
      </c>
      <c r="L190">
        <v>9.64</v>
      </c>
      <c r="M190">
        <v>8.33</v>
      </c>
      <c r="N190">
        <v>10</v>
      </c>
      <c r="O190">
        <v>9.41</v>
      </c>
      <c r="P190" s="113" t="s">
        <v>835</v>
      </c>
      <c r="Q190" s="106" t="s">
        <v>1346</v>
      </c>
      <c r="R190" s="11">
        <v>75.2</v>
      </c>
    </row>
    <row r="191" spans="1:18" x14ac:dyDescent="0.2">
      <c r="A191" t="s">
        <v>423</v>
      </c>
      <c r="B191" t="s">
        <v>424</v>
      </c>
      <c r="C191" t="s">
        <v>36</v>
      </c>
      <c r="D191" t="s">
        <v>47</v>
      </c>
      <c r="E191" s="109" t="s">
        <v>423</v>
      </c>
      <c r="F191" s="102">
        <v>0.155</v>
      </c>
      <c r="G191" s="102">
        <v>0.24399999999999999</v>
      </c>
      <c r="H191" s="102">
        <v>0.60699999999999998</v>
      </c>
      <c r="I191" s="10" t="s">
        <v>1172</v>
      </c>
      <c r="J191" s="3">
        <v>9.0299999999999994</v>
      </c>
      <c r="K191">
        <v>9.58</v>
      </c>
      <c r="L191">
        <v>9.2899999999999991</v>
      </c>
      <c r="M191">
        <v>7.78</v>
      </c>
      <c r="N191">
        <v>9.3800000000000008</v>
      </c>
      <c r="O191">
        <v>9.1199999999999992</v>
      </c>
      <c r="P191" s="113" t="s">
        <v>835</v>
      </c>
      <c r="Q191" s="106" t="s">
        <v>1347</v>
      </c>
      <c r="R191" s="11">
        <v>81.900000000000006</v>
      </c>
    </row>
    <row r="192" spans="1:18" x14ac:dyDescent="0.2">
      <c r="A192" t="s">
        <v>425</v>
      </c>
      <c r="B192" t="s">
        <v>426</v>
      </c>
      <c r="C192" t="s">
        <v>40</v>
      </c>
      <c r="D192" t="s">
        <v>32</v>
      </c>
      <c r="E192" s="109" t="s">
        <v>1565</v>
      </c>
      <c r="F192" s="102">
        <v>2.8000000000000001E-2</v>
      </c>
      <c r="G192" s="102">
        <v>0.29699999999999999</v>
      </c>
      <c r="H192" s="102">
        <v>0.68100000000000005</v>
      </c>
      <c r="I192" t="s">
        <v>1172</v>
      </c>
      <c r="J192" s="3">
        <v>1.43</v>
      </c>
      <c r="K192">
        <v>0</v>
      </c>
      <c r="L192">
        <v>0</v>
      </c>
      <c r="M192">
        <v>2.78</v>
      </c>
      <c r="N192">
        <v>4.38</v>
      </c>
      <c r="O192">
        <v>0</v>
      </c>
      <c r="P192" s="113" t="s">
        <v>831</v>
      </c>
      <c r="R192" s="11"/>
    </row>
    <row r="193" spans="1:18" x14ac:dyDescent="0.2">
      <c r="A193" t="s">
        <v>427</v>
      </c>
      <c r="B193" t="s">
        <v>428</v>
      </c>
      <c r="C193" t="s">
        <v>44</v>
      </c>
      <c r="D193" t="s">
        <v>47</v>
      </c>
      <c r="E193" s="109" t="s">
        <v>1188</v>
      </c>
      <c r="F193" s="102">
        <v>1.2999999999999999E-2</v>
      </c>
      <c r="G193" s="102">
        <v>0.28399999999999997</v>
      </c>
      <c r="H193" s="102">
        <v>0.65400000000000003</v>
      </c>
      <c r="I193" t="s">
        <v>1172</v>
      </c>
      <c r="J193" s="3">
        <v>7.73</v>
      </c>
      <c r="K193">
        <v>9.58</v>
      </c>
      <c r="L193">
        <v>8.2100000000000009</v>
      </c>
      <c r="M193">
        <v>6.11</v>
      </c>
      <c r="N193">
        <v>5.63</v>
      </c>
      <c r="O193">
        <v>9.1199999999999992</v>
      </c>
      <c r="P193" s="113" t="s">
        <v>834</v>
      </c>
      <c r="Q193" s="106" t="s">
        <v>1348</v>
      </c>
      <c r="R193" s="11">
        <v>77.3</v>
      </c>
    </row>
    <row r="194" spans="1:18" x14ac:dyDescent="0.2">
      <c r="A194" t="s">
        <v>429</v>
      </c>
      <c r="B194" t="s">
        <v>430</v>
      </c>
      <c r="C194" t="s">
        <v>36</v>
      </c>
      <c r="D194" t="s">
        <v>32</v>
      </c>
      <c r="E194" s="109" t="s">
        <v>429</v>
      </c>
      <c r="F194" s="102">
        <v>0.108</v>
      </c>
      <c r="G194" s="102">
        <v>0.28100000000000003</v>
      </c>
      <c r="H194" s="102">
        <v>0.64300000000000002</v>
      </c>
      <c r="I194" t="s">
        <v>1172</v>
      </c>
      <c r="J194" s="3">
        <v>1.93</v>
      </c>
      <c r="K194">
        <v>0.08</v>
      </c>
      <c r="L194">
        <v>0.79</v>
      </c>
      <c r="M194">
        <v>1.67</v>
      </c>
      <c r="N194">
        <v>6.25</v>
      </c>
      <c r="O194">
        <v>0.88</v>
      </c>
      <c r="P194" s="113" t="s">
        <v>831</v>
      </c>
      <c r="Q194" s="106" t="s">
        <v>1349</v>
      </c>
      <c r="R194" s="11">
        <v>55.6</v>
      </c>
    </row>
    <row r="195" spans="1:18" x14ac:dyDescent="0.2">
      <c r="A195" t="s">
        <v>431</v>
      </c>
      <c r="B195" t="s">
        <v>432</v>
      </c>
      <c r="C195" t="s">
        <v>50</v>
      </c>
      <c r="D195" t="s">
        <v>32</v>
      </c>
      <c r="E195" s="109" t="s">
        <v>431</v>
      </c>
      <c r="F195" s="102">
        <v>0.52300000000000002</v>
      </c>
      <c r="G195" s="102">
        <v>0.14699999999999999</v>
      </c>
      <c r="H195" s="102">
        <v>0.49099999999999999</v>
      </c>
      <c r="I195" t="s">
        <v>1154</v>
      </c>
      <c r="J195" s="3">
        <v>5.41</v>
      </c>
      <c r="K195">
        <v>7</v>
      </c>
      <c r="L195">
        <v>5</v>
      </c>
      <c r="M195">
        <v>5</v>
      </c>
      <c r="N195">
        <v>5.63</v>
      </c>
      <c r="O195">
        <v>4.41</v>
      </c>
      <c r="P195" s="113" t="s">
        <v>832</v>
      </c>
      <c r="R195" s="11"/>
    </row>
    <row r="196" spans="1:18" x14ac:dyDescent="0.2">
      <c r="A196" t="s">
        <v>433</v>
      </c>
      <c r="B196" t="s">
        <v>434</v>
      </c>
      <c r="C196" t="s">
        <v>44</v>
      </c>
      <c r="D196" t="s">
        <v>37</v>
      </c>
      <c r="E196" s="109" t="s">
        <v>433</v>
      </c>
      <c r="F196" s="102">
        <v>0.01</v>
      </c>
      <c r="G196" s="102">
        <v>0.13</v>
      </c>
      <c r="H196" s="102">
        <v>0.45900000000000002</v>
      </c>
      <c r="I196" t="s">
        <v>1154</v>
      </c>
      <c r="J196" s="3">
        <v>4.63</v>
      </c>
      <c r="K196">
        <v>3</v>
      </c>
      <c r="L196">
        <v>4.29</v>
      </c>
      <c r="M196">
        <v>5</v>
      </c>
      <c r="N196">
        <v>5</v>
      </c>
      <c r="O196">
        <v>5.88</v>
      </c>
      <c r="P196" s="113" t="s">
        <v>832</v>
      </c>
      <c r="Q196" s="106" t="s">
        <v>1350</v>
      </c>
      <c r="R196" s="11">
        <v>68.3</v>
      </c>
    </row>
    <row r="197" spans="1:18" x14ac:dyDescent="0.2">
      <c r="A197" t="s">
        <v>435</v>
      </c>
      <c r="B197" t="s">
        <v>436</v>
      </c>
      <c r="C197" t="s">
        <v>44</v>
      </c>
      <c r="D197" t="s">
        <v>51</v>
      </c>
      <c r="E197" s="109" t="s">
        <v>435</v>
      </c>
      <c r="F197" s="102">
        <v>0.23</v>
      </c>
      <c r="G197" s="102">
        <v>7.0000000000000007E-2</v>
      </c>
      <c r="H197" s="102">
        <v>0.36899999999999999</v>
      </c>
      <c r="I197" t="s">
        <v>1171</v>
      </c>
      <c r="J197" s="3">
        <v>7.19</v>
      </c>
      <c r="K197">
        <v>9.08</v>
      </c>
      <c r="L197">
        <v>6.79</v>
      </c>
      <c r="M197">
        <v>5.56</v>
      </c>
      <c r="N197">
        <v>6.88</v>
      </c>
      <c r="O197">
        <v>7.65</v>
      </c>
      <c r="P197" s="113" t="s">
        <v>834</v>
      </c>
      <c r="Q197" s="106" t="s">
        <v>1351</v>
      </c>
      <c r="R197" s="11">
        <v>44.2</v>
      </c>
    </row>
    <row r="198" spans="1:18" x14ac:dyDescent="0.2">
      <c r="A198" t="s">
        <v>437</v>
      </c>
      <c r="B198" t="s">
        <v>438</v>
      </c>
      <c r="C198" t="s">
        <v>50</v>
      </c>
      <c r="D198" t="s">
        <v>32</v>
      </c>
      <c r="E198" s="109" t="s">
        <v>437</v>
      </c>
      <c r="F198" s="102">
        <v>2.4E-2</v>
      </c>
      <c r="G198" s="102">
        <v>0.26500000000000001</v>
      </c>
      <c r="H198" s="102">
        <v>0.63</v>
      </c>
      <c r="I198" t="s">
        <v>1154</v>
      </c>
      <c r="J198" s="3">
        <v>3.1</v>
      </c>
      <c r="K198">
        <v>3.17</v>
      </c>
      <c r="L198">
        <v>0.79</v>
      </c>
      <c r="M198">
        <v>3.33</v>
      </c>
      <c r="N198">
        <v>5</v>
      </c>
      <c r="O198">
        <v>3.24</v>
      </c>
      <c r="P198" s="113" t="s">
        <v>831</v>
      </c>
      <c r="Q198" s="106" t="s">
        <v>1352</v>
      </c>
      <c r="R198" s="11">
        <v>50.3</v>
      </c>
    </row>
    <row r="199" spans="1:18" x14ac:dyDescent="0.2">
      <c r="A199" t="s">
        <v>439</v>
      </c>
      <c r="B199" t="s">
        <v>440</v>
      </c>
      <c r="C199" t="s">
        <v>44</v>
      </c>
      <c r="D199" t="s">
        <v>37</v>
      </c>
      <c r="E199" s="109" t="s">
        <v>439</v>
      </c>
      <c r="F199" s="102">
        <v>4.2000000000000003E-2</v>
      </c>
      <c r="G199" s="102">
        <v>0.32800000000000001</v>
      </c>
      <c r="H199" s="102">
        <v>0.71199999999999997</v>
      </c>
      <c r="I199" t="s">
        <v>1172</v>
      </c>
      <c r="J199" s="3" t="s">
        <v>33</v>
      </c>
      <c r="K199" t="s">
        <v>33</v>
      </c>
      <c r="L199" t="s">
        <v>33</v>
      </c>
      <c r="M199" t="s">
        <v>33</v>
      </c>
      <c r="N199" t="s">
        <v>33</v>
      </c>
      <c r="O199" t="s">
        <v>33</v>
      </c>
      <c r="P199" s="113" t="s">
        <v>833</v>
      </c>
      <c r="Q199" s="106" t="s">
        <v>1353</v>
      </c>
      <c r="R199" s="11">
        <v>57.7</v>
      </c>
    </row>
    <row r="200" spans="1:18" x14ac:dyDescent="0.2">
      <c r="A200" t="s">
        <v>441</v>
      </c>
      <c r="B200" t="s">
        <v>442</v>
      </c>
      <c r="C200" t="s">
        <v>54</v>
      </c>
      <c r="D200" t="s">
        <v>47</v>
      </c>
      <c r="E200" s="109" t="s">
        <v>441</v>
      </c>
      <c r="F200" s="102">
        <v>8.8999999999999996E-2</v>
      </c>
      <c r="G200" s="102">
        <v>0.17499999999999999</v>
      </c>
      <c r="H200" s="102">
        <v>0.52200000000000002</v>
      </c>
      <c r="I200" t="s">
        <v>1185</v>
      </c>
      <c r="J200" s="3">
        <v>7.16</v>
      </c>
      <c r="K200">
        <v>9.58</v>
      </c>
      <c r="L200">
        <v>7.14</v>
      </c>
      <c r="M200">
        <v>6.11</v>
      </c>
      <c r="N200">
        <v>5.63</v>
      </c>
      <c r="O200">
        <v>7.35</v>
      </c>
      <c r="P200" s="113" t="s">
        <v>834</v>
      </c>
      <c r="Q200" s="106" t="s">
        <v>1354</v>
      </c>
      <c r="R200" s="11">
        <v>57</v>
      </c>
    </row>
    <row r="201" spans="1:18" x14ac:dyDescent="0.2">
      <c r="A201" t="s">
        <v>443</v>
      </c>
      <c r="B201" t="s">
        <v>444</v>
      </c>
      <c r="C201" t="s">
        <v>40</v>
      </c>
      <c r="D201" t="s">
        <v>51</v>
      </c>
      <c r="E201" s="109" t="s">
        <v>443</v>
      </c>
      <c r="F201" s="102">
        <v>0.253</v>
      </c>
      <c r="G201" s="102">
        <v>0.32800000000000001</v>
      </c>
      <c r="H201" s="102">
        <v>0.71899999999999997</v>
      </c>
      <c r="I201" t="s">
        <v>1172</v>
      </c>
      <c r="J201" s="3">
        <v>6.41</v>
      </c>
      <c r="K201">
        <v>6.42</v>
      </c>
      <c r="L201">
        <v>5.71</v>
      </c>
      <c r="M201">
        <v>7.78</v>
      </c>
      <c r="N201">
        <v>6.25</v>
      </c>
      <c r="O201">
        <v>5.88</v>
      </c>
      <c r="P201" s="113" t="s">
        <v>834</v>
      </c>
      <c r="Q201" s="106" t="s">
        <v>1355</v>
      </c>
      <c r="R201" s="11">
        <v>55.4</v>
      </c>
    </row>
    <row r="202" spans="1:18" x14ac:dyDescent="0.2">
      <c r="A202" t="s">
        <v>445</v>
      </c>
      <c r="B202" t="s">
        <v>446</v>
      </c>
      <c r="C202" t="s">
        <v>36</v>
      </c>
      <c r="D202" t="s">
        <v>37</v>
      </c>
      <c r="E202" s="109" t="s">
        <v>445</v>
      </c>
      <c r="F202" s="102">
        <v>0.26300000000000001</v>
      </c>
      <c r="G202" s="102">
        <v>0.189</v>
      </c>
      <c r="H202" s="102">
        <v>0.54200000000000004</v>
      </c>
      <c r="I202" t="s">
        <v>1154</v>
      </c>
      <c r="J202" s="3">
        <v>4.37</v>
      </c>
      <c r="K202">
        <v>4.5</v>
      </c>
      <c r="L202">
        <v>5</v>
      </c>
      <c r="M202">
        <v>5</v>
      </c>
      <c r="N202">
        <v>5</v>
      </c>
      <c r="O202">
        <v>2.35</v>
      </c>
      <c r="P202" s="113" t="s">
        <v>832</v>
      </c>
      <c r="Q202" s="106" t="s">
        <v>1356</v>
      </c>
      <c r="R202" s="11">
        <v>64.599999999999994</v>
      </c>
    </row>
    <row r="203" spans="1:18" x14ac:dyDescent="0.2">
      <c r="A203" t="s">
        <v>447</v>
      </c>
      <c r="B203" t="s">
        <v>448</v>
      </c>
      <c r="C203" t="s">
        <v>36</v>
      </c>
      <c r="D203" t="s">
        <v>37</v>
      </c>
      <c r="E203" s="109" t="s">
        <v>447</v>
      </c>
      <c r="F203" s="102">
        <v>3.0000000000000001E-3</v>
      </c>
      <c r="G203" s="102">
        <v>0.128</v>
      </c>
      <c r="H203" s="102">
        <v>0.45900000000000002</v>
      </c>
      <c r="I203" t="s">
        <v>1185</v>
      </c>
      <c r="J203" s="3">
        <v>1.72</v>
      </c>
      <c r="K203">
        <v>0</v>
      </c>
      <c r="L203">
        <v>0.79</v>
      </c>
      <c r="M203">
        <v>2.2200000000000002</v>
      </c>
      <c r="N203">
        <v>5</v>
      </c>
      <c r="O203">
        <v>0.59</v>
      </c>
      <c r="P203" s="113" t="s">
        <v>831</v>
      </c>
      <c r="Q203" s="106" t="s">
        <v>1357</v>
      </c>
      <c r="R203" s="11">
        <v>48.4</v>
      </c>
    </row>
    <row r="204" spans="1:18" x14ac:dyDescent="0.2">
      <c r="A204" t="s">
        <v>449</v>
      </c>
      <c r="B204" t="s">
        <v>450</v>
      </c>
      <c r="C204" t="s">
        <v>54</v>
      </c>
      <c r="D204" t="s">
        <v>47</v>
      </c>
      <c r="E204" s="109" t="s">
        <v>449</v>
      </c>
      <c r="F204" s="102">
        <v>1.2999999999999999E-2</v>
      </c>
      <c r="G204" s="102">
        <v>0.52300000000000002</v>
      </c>
      <c r="H204" s="102">
        <v>0.90600000000000003</v>
      </c>
      <c r="I204" t="s">
        <v>1173</v>
      </c>
      <c r="J204" s="3" t="s">
        <v>33</v>
      </c>
      <c r="K204" t="s">
        <v>33</v>
      </c>
      <c r="L204" t="s">
        <v>33</v>
      </c>
      <c r="M204" t="s">
        <v>33</v>
      </c>
      <c r="N204" t="s">
        <v>33</v>
      </c>
      <c r="O204" t="s">
        <v>33</v>
      </c>
      <c r="P204" s="113" t="s">
        <v>833</v>
      </c>
      <c r="R204" s="11"/>
    </row>
    <row r="205" spans="1:18" x14ac:dyDescent="0.2">
      <c r="A205" t="s">
        <v>451</v>
      </c>
      <c r="B205" t="s">
        <v>452</v>
      </c>
      <c r="C205" t="s">
        <v>44</v>
      </c>
      <c r="D205" t="s">
        <v>37</v>
      </c>
      <c r="E205" s="109" t="s">
        <v>451</v>
      </c>
      <c r="F205" s="102">
        <v>0.10199999999999999</v>
      </c>
      <c r="G205" s="102">
        <v>0.61399999999999999</v>
      </c>
      <c r="H205" s="102">
        <v>1</v>
      </c>
      <c r="I205" t="s">
        <v>1173</v>
      </c>
      <c r="J205" s="3" t="s">
        <v>33</v>
      </c>
      <c r="K205" t="s">
        <v>33</v>
      </c>
      <c r="L205" t="s">
        <v>33</v>
      </c>
      <c r="M205" t="s">
        <v>33</v>
      </c>
      <c r="N205" t="s">
        <v>33</v>
      </c>
      <c r="O205" t="s">
        <v>33</v>
      </c>
      <c r="P205" s="113" t="s">
        <v>833</v>
      </c>
      <c r="R205" s="11"/>
    </row>
    <row r="206" spans="1:18" x14ac:dyDescent="0.2">
      <c r="A206" t="s">
        <v>453</v>
      </c>
      <c r="B206" t="s">
        <v>454</v>
      </c>
      <c r="C206" t="s">
        <v>50</v>
      </c>
      <c r="D206" t="s">
        <v>32</v>
      </c>
      <c r="E206" s="109" t="s">
        <v>453</v>
      </c>
      <c r="F206" s="102">
        <v>7.0000000000000007E-2</v>
      </c>
      <c r="G206" s="102">
        <v>0.41</v>
      </c>
      <c r="H206" s="102">
        <v>0.83</v>
      </c>
      <c r="I206" t="s">
        <v>1173</v>
      </c>
      <c r="J206" s="3">
        <v>5.2</v>
      </c>
      <c r="K206">
        <v>5.25</v>
      </c>
      <c r="L206">
        <v>3.57</v>
      </c>
      <c r="M206">
        <v>4.4400000000000004</v>
      </c>
      <c r="N206">
        <v>6.88</v>
      </c>
      <c r="O206">
        <v>5.88</v>
      </c>
      <c r="P206" s="113" t="s">
        <v>832</v>
      </c>
      <c r="Q206" s="106" t="s">
        <v>1358</v>
      </c>
      <c r="R206" s="11">
        <v>59.7</v>
      </c>
    </row>
    <row r="207" spans="1:18" x14ac:dyDescent="0.2">
      <c r="A207" t="s">
        <v>455</v>
      </c>
      <c r="B207" t="s">
        <v>456</v>
      </c>
      <c r="C207" t="s">
        <v>36</v>
      </c>
      <c r="D207" t="s">
        <v>51</v>
      </c>
      <c r="E207" s="109" t="s">
        <v>455</v>
      </c>
      <c r="F207" s="102">
        <v>1.2999999999999999E-2</v>
      </c>
      <c r="G207" s="102">
        <v>0.22900000000000001</v>
      </c>
      <c r="H207" s="102">
        <v>0.59799999999999998</v>
      </c>
      <c r="I207" s="10" t="s">
        <v>1172</v>
      </c>
      <c r="J207" s="3">
        <v>5.69</v>
      </c>
      <c r="K207">
        <v>6.17</v>
      </c>
      <c r="L207">
        <v>3.21</v>
      </c>
      <c r="M207">
        <v>6.67</v>
      </c>
      <c r="N207">
        <v>6.25</v>
      </c>
      <c r="O207">
        <v>6.18</v>
      </c>
      <c r="P207" s="113" t="s">
        <v>832</v>
      </c>
      <c r="Q207" s="106" t="s">
        <v>1359</v>
      </c>
      <c r="R207" s="11">
        <v>52.3</v>
      </c>
    </row>
    <row r="208" spans="1:18" x14ac:dyDescent="0.2">
      <c r="A208" t="s">
        <v>457</v>
      </c>
      <c r="B208" t="s">
        <v>458</v>
      </c>
      <c r="C208" t="s">
        <v>40</v>
      </c>
      <c r="D208" t="s">
        <v>47</v>
      </c>
      <c r="E208" s="109" t="s">
        <v>457</v>
      </c>
      <c r="F208" s="102">
        <v>0.04</v>
      </c>
      <c r="G208" s="102">
        <v>0.218</v>
      </c>
      <c r="H208" s="102">
        <v>0.58099999999999996</v>
      </c>
      <c r="I208" t="s">
        <v>1185</v>
      </c>
      <c r="J208" s="3">
        <v>2.76</v>
      </c>
      <c r="K208">
        <v>0</v>
      </c>
      <c r="L208">
        <v>3.93</v>
      </c>
      <c r="M208">
        <v>2.2200000000000002</v>
      </c>
      <c r="N208">
        <v>5</v>
      </c>
      <c r="O208">
        <v>2.65</v>
      </c>
      <c r="P208" s="113" t="s">
        <v>831</v>
      </c>
      <c r="Q208" s="106" t="s">
        <v>1360</v>
      </c>
      <c r="R208" s="11">
        <v>77.099999999999994</v>
      </c>
    </row>
    <row r="209" spans="1:18" x14ac:dyDescent="0.2">
      <c r="A209" t="s">
        <v>459</v>
      </c>
      <c r="B209" t="s">
        <v>460</v>
      </c>
      <c r="C209" t="s">
        <v>36</v>
      </c>
      <c r="D209" t="s">
        <v>47</v>
      </c>
      <c r="E209" s="109" t="s">
        <v>459</v>
      </c>
      <c r="F209" s="102">
        <v>1.2E-2</v>
      </c>
      <c r="G209" s="102">
        <v>0.38600000000000001</v>
      </c>
      <c r="H209" s="102">
        <v>0.78</v>
      </c>
      <c r="I209" t="s">
        <v>1173</v>
      </c>
      <c r="J209" s="3">
        <v>8.5299999999999994</v>
      </c>
      <c r="K209">
        <v>9.58</v>
      </c>
      <c r="L209">
        <v>7.5</v>
      </c>
      <c r="M209">
        <v>8.33</v>
      </c>
      <c r="N209">
        <v>8.1300000000000008</v>
      </c>
      <c r="O209">
        <v>9.1199999999999992</v>
      </c>
      <c r="P209" s="113" t="s">
        <v>835</v>
      </c>
      <c r="Q209" s="106" t="s">
        <v>1361</v>
      </c>
      <c r="R209" s="11">
        <v>78.900000000000006</v>
      </c>
    </row>
    <row r="210" spans="1:18" x14ac:dyDescent="0.2">
      <c r="A210" t="s">
        <v>461</v>
      </c>
      <c r="B210" t="s">
        <v>462</v>
      </c>
      <c r="C210" t="s">
        <v>88</v>
      </c>
      <c r="D210" t="s">
        <v>47</v>
      </c>
      <c r="E210" s="109" t="s">
        <v>461</v>
      </c>
      <c r="F210" s="102">
        <v>3.7999999999999999E-2</v>
      </c>
      <c r="G210" s="102">
        <v>0.35</v>
      </c>
      <c r="H210" s="102">
        <v>0.74199999999999999</v>
      </c>
      <c r="I210" t="s">
        <v>1172</v>
      </c>
      <c r="J210" s="3">
        <v>7.96</v>
      </c>
      <c r="K210">
        <v>9.17</v>
      </c>
      <c r="L210">
        <v>7.14</v>
      </c>
      <c r="M210">
        <v>7.78</v>
      </c>
      <c r="N210">
        <v>7.5</v>
      </c>
      <c r="O210">
        <v>8.24</v>
      </c>
      <c r="P210" s="113" t="s">
        <v>835</v>
      </c>
      <c r="Q210" s="106" t="s">
        <v>1362</v>
      </c>
      <c r="R210" s="11">
        <v>76.8</v>
      </c>
    </row>
    <row r="211" spans="1:18" x14ac:dyDescent="0.2">
      <c r="A211" t="s">
        <v>463</v>
      </c>
      <c r="B211" t="s">
        <v>464</v>
      </c>
      <c r="C211" t="s">
        <v>54</v>
      </c>
      <c r="D211" t="s">
        <v>47</v>
      </c>
      <c r="E211" s="109" t="s">
        <v>463</v>
      </c>
      <c r="F211" s="102">
        <v>6.2E-2</v>
      </c>
      <c r="G211" s="102">
        <v>0.24099999999999999</v>
      </c>
      <c r="H211" s="102">
        <v>0.60799999999999998</v>
      </c>
      <c r="I211" t="s">
        <v>1154</v>
      </c>
      <c r="J211" s="3">
        <v>8.3800000000000008</v>
      </c>
      <c r="K211">
        <v>10</v>
      </c>
      <c r="L211">
        <v>8.57</v>
      </c>
      <c r="M211">
        <v>6.11</v>
      </c>
      <c r="N211">
        <v>7.5</v>
      </c>
      <c r="O211">
        <v>9.7100000000000009</v>
      </c>
      <c r="P211" s="113" t="s">
        <v>835</v>
      </c>
      <c r="Q211" s="106" t="s">
        <v>1363</v>
      </c>
      <c r="R211" s="11">
        <v>68.599999999999994</v>
      </c>
    </row>
    <row r="212" spans="1:18" x14ac:dyDescent="0.2">
      <c r="A212" t="s">
        <v>465</v>
      </c>
      <c r="B212" t="s">
        <v>466</v>
      </c>
      <c r="C212" t="s">
        <v>36</v>
      </c>
      <c r="D212" t="s">
        <v>51</v>
      </c>
      <c r="E212" s="109" t="s">
        <v>465</v>
      </c>
      <c r="F212" s="102">
        <v>7.0000000000000007E-2</v>
      </c>
      <c r="G212" s="102">
        <v>0.21099999999999999</v>
      </c>
      <c r="H212" s="102">
        <v>0.57199999999999995</v>
      </c>
      <c r="I212" t="s">
        <v>1175</v>
      </c>
      <c r="J212" s="3">
        <v>2.0099999999999998</v>
      </c>
      <c r="K212">
        <v>0.08</v>
      </c>
      <c r="L212">
        <v>1.86</v>
      </c>
      <c r="M212">
        <v>2.2200000000000002</v>
      </c>
      <c r="N212">
        <v>5</v>
      </c>
      <c r="O212">
        <v>0.88</v>
      </c>
      <c r="P212" s="113" t="s">
        <v>831</v>
      </c>
      <c r="Q212" s="106" t="s">
        <v>1364</v>
      </c>
      <c r="R212" s="11">
        <v>53.3</v>
      </c>
    </row>
    <row r="213" spans="1:18" x14ac:dyDescent="0.2">
      <c r="A213" t="s">
        <v>467</v>
      </c>
      <c r="B213" t="s">
        <v>468</v>
      </c>
      <c r="C213" t="s">
        <v>44</v>
      </c>
      <c r="D213" t="s">
        <v>51</v>
      </c>
      <c r="E213" s="109" t="s">
        <v>467</v>
      </c>
      <c r="F213" s="102">
        <v>0.13300000000000001</v>
      </c>
      <c r="G213" s="102">
        <v>0.39300000000000002</v>
      </c>
      <c r="H213" s="102">
        <v>0.8</v>
      </c>
      <c r="I213" t="s">
        <v>1173</v>
      </c>
      <c r="J213" s="3" t="s">
        <v>33</v>
      </c>
      <c r="K213" t="s">
        <v>33</v>
      </c>
      <c r="L213" t="s">
        <v>33</v>
      </c>
      <c r="M213" t="s">
        <v>33</v>
      </c>
      <c r="N213" t="s">
        <v>33</v>
      </c>
      <c r="O213" t="s">
        <v>33</v>
      </c>
      <c r="P213" s="113" t="s">
        <v>833</v>
      </c>
      <c r="Q213" s="106" t="s">
        <v>1365</v>
      </c>
      <c r="R213" s="11">
        <v>56.4</v>
      </c>
    </row>
    <row r="214" spans="1:18" x14ac:dyDescent="0.2">
      <c r="A214" t="s">
        <v>469</v>
      </c>
      <c r="B214" t="s">
        <v>470</v>
      </c>
      <c r="C214" t="s">
        <v>54</v>
      </c>
      <c r="D214" t="s">
        <v>37</v>
      </c>
      <c r="E214" s="109" t="s">
        <v>1189</v>
      </c>
      <c r="F214" s="102">
        <v>7.5999999999999998E-2</v>
      </c>
      <c r="G214" s="102">
        <v>0.32700000000000001</v>
      </c>
      <c r="H214" s="102">
        <v>0.7</v>
      </c>
      <c r="I214" t="s">
        <v>1172</v>
      </c>
      <c r="J214" s="3">
        <v>3.16</v>
      </c>
      <c r="K214">
        <v>1.67</v>
      </c>
      <c r="L214">
        <v>1.79</v>
      </c>
      <c r="M214">
        <v>4.4400000000000004</v>
      </c>
      <c r="N214">
        <v>4.38</v>
      </c>
      <c r="O214">
        <v>3.53</v>
      </c>
      <c r="P214" s="113" t="s">
        <v>831</v>
      </c>
      <c r="Q214" s="106" t="s">
        <v>1366</v>
      </c>
      <c r="R214" s="11">
        <v>25.9</v>
      </c>
    </row>
    <row r="215" spans="1:18" x14ac:dyDescent="0.2">
      <c r="A215" t="s">
        <v>471</v>
      </c>
      <c r="B215" t="s">
        <v>472</v>
      </c>
      <c r="C215" t="s">
        <v>44</v>
      </c>
      <c r="D215" t="s">
        <v>51</v>
      </c>
      <c r="E215" s="109" t="s">
        <v>471</v>
      </c>
      <c r="F215" s="102">
        <v>0.03</v>
      </c>
      <c r="G215" s="102">
        <v>0.19</v>
      </c>
      <c r="H215" s="102">
        <v>0.54500000000000004</v>
      </c>
      <c r="I215" t="s">
        <v>1154</v>
      </c>
      <c r="J215" s="3">
        <v>3.08</v>
      </c>
      <c r="K215">
        <v>0</v>
      </c>
      <c r="L215">
        <v>3.21</v>
      </c>
      <c r="M215">
        <v>3.89</v>
      </c>
      <c r="N215">
        <v>5.63</v>
      </c>
      <c r="O215">
        <v>2.65</v>
      </c>
      <c r="P215" s="113" t="s">
        <v>831</v>
      </c>
      <c r="Q215" s="106" t="s">
        <v>1367</v>
      </c>
      <c r="R215" s="11">
        <v>55.3</v>
      </c>
    </row>
    <row r="216" spans="1:18" x14ac:dyDescent="0.2">
      <c r="A216" t="s">
        <v>473</v>
      </c>
      <c r="B216" t="s">
        <v>474</v>
      </c>
      <c r="C216" t="s">
        <v>54</v>
      </c>
      <c r="D216" t="s">
        <v>47</v>
      </c>
      <c r="E216" s="109"/>
      <c r="F216" s="102"/>
      <c r="G216" s="102"/>
      <c r="H216" s="102"/>
      <c r="J216" s="3" t="s">
        <v>33</v>
      </c>
      <c r="K216" t="s">
        <v>33</v>
      </c>
      <c r="L216" t="s">
        <v>33</v>
      </c>
      <c r="M216" t="s">
        <v>33</v>
      </c>
      <c r="N216" t="s">
        <v>33</v>
      </c>
      <c r="O216" t="s">
        <v>33</v>
      </c>
      <c r="P216" s="113" t="s">
        <v>833</v>
      </c>
      <c r="R216" s="11"/>
    </row>
    <row r="217" spans="1:18" x14ac:dyDescent="0.2">
      <c r="A217" t="s">
        <v>475</v>
      </c>
      <c r="B217" t="s">
        <v>476</v>
      </c>
      <c r="C217" t="s">
        <v>40</v>
      </c>
      <c r="D217" t="s">
        <v>51</v>
      </c>
      <c r="E217" s="109"/>
      <c r="F217" s="102"/>
      <c r="G217" s="102"/>
      <c r="H217" s="102"/>
      <c r="J217" s="3" t="s">
        <v>33</v>
      </c>
      <c r="K217" t="s">
        <v>33</v>
      </c>
      <c r="L217" t="s">
        <v>33</v>
      </c>
      <c r="M217" t="s">
        <v>33</v>
      </c>
      <c r="N217" t="s">
        <v>33</v>
      </c>
      <c r="O217" t="s">
        <v>33</v>
      </c>
      <c r="P217" s="113" t="s">
        <v>833</v>
      </c>
      <c r="R217" s="11"/>
    </row>
    <row r="218" spans="1:18" x14ac:dyDescent="0.2">
      <c r="A218" t="s">
        <v>477</v>
      </c>
      <c r="B218" t="s">
        <v>478</v>
      </c>
      <c r="C218" t="s">
        <v>40</v>
      </c>
      <c r="D218" t="s">
        <v>32</v>
      </c>
      <c r="E218" s="109" t="s">
        <v>1566</v>
      </c>
      <c r="F218" s="102">
        <v>1.7000000000000001E-2</v>
      </c>
      <c r="G218" s="102">
        <v>0.58099999999999996</v>
      </c>
      <c r="H218" s="102">
        <v>0.93799999999999994</v>
      </c>
      <c r="I218" t="s">
        <v>1173</v>
      </c>
      <c r="J218" s="3">
        <v>1.95</v>
      </c>
      <c r="K218">
        <v>0</v>
      </c>
      <c r="L218">
        <v>0</v>
      </c>
      <c r="M218">
        <v>3.89</v>
      </c>
      <c r="N218">
        <v>5</v>
      </c>
      <c r="O218">
        <v>0.88</v>
      </c>
      <c r="P218" s="113" t="s">
        <v>831</v>
      </c>
      <c r="R218" s="11"/>
    </row>
    <row r="219" spans="1:18" x14ac:dyDescent="0.2">
      <c r="A219" t="s">
        <v>479</v>
      </c>
      <c r="B219" t="s">
        <v>480</v>
      </c>
      <c r="C219" t="s">
        <v>50</v>
      </c>
      <c r="D219" t="s">
        <v>51</v>
      </c>
      <c r="E219" s="109" t="s">
        <v>479</v>
      </c>
      <c r="F219" s="102">
        <v>0.11899999999999999</v>
      </c>
      <c r="G219" s="102">
        <v>0.17699999999999999</v>
      </c>
      <c r="H219" s="102">
        <v>0.53300000000000003</v>
      </c>
      <c r="I219" s="10" t="s">
        <v>1185</v>
      </c>
      <c r="J219" s="3">
        <v>5.61</v>
      </c>
      <c r="K219">
        <v>6.17</v>
      </c>
      <c r="L219">
        <v>4.6399999999999997</v>
      </c>
      <c r="M219">
        <v>3.89</v>
      </c>
      <c r="N219">
        <v>6.88</v>
      </c>
      <c r="O219">
        <v>6.47</v>
      </c>
      <c r="P219" s="113" t="s">
        <v>832</v>
      </c>
      <c r="Q219" s="106" t="s">
        <v>1368</v>
      </c>
      <c r="R219" s="11">
        <v>53.6</v>
      </c>
    </row>
    <row r="220" spans="1:18" ht="16" thickBot="1" x14ac:dyDescent="0.25">
      <c r="A220" t="s">
        <v>481</v>
      </c>
      <c r="B220" t="s">
        <v>482</v>
      </c>
      <c r="C220" t="s">
        <v>50</v>
      </c>
      <c r="D220" t="s">
        <v>32</v>
      </c>
      <c r="E220" s="109" t="s">
        <v>481</v>
      </c>
      <c r="F220" s="102">
        <v>7.4999999999999997E-2</v>
      </c>
      <c r="G220" s="102">
        <v>0.44900000000000001</v>
      </c>
      <c r="H220" s="102">
        <v>0.85699999999999998</v>
      </c>
      <c r="I220" t="s">
        <v>1173</v>
      </c>
      <c r="J220" s="4">
        <v>3.16</v>
      </c>
      <c r="K220" s="5">
        <v>0.5</v>
      </c>
      <c r="L220" s="5">
        <v>2</v>
      </c>
      <c r="M220" s="5">
        <v>4.4400000000000004</v>
      </c>
      <c r="N220" s="5">
        <v>5.63</v>
      </c>
      <c r="O220" s="5">
        <v>3.24</v>
      </c>
      <c r="P220" s="114" t="s">
        <v>831</v>
      </c>
      <c r="Q220" s="106" t="s">
        <v>1369</v>
      </c>
      <c r="R220" s="11">
        <v>40.4</v>
      </c>
    </row>
  </sheetData>
  <conditionalFormatting sqref="P1:R1 P2:P220 P221:R1048576">
    <cfRule type="containsText" dxfId="0" priority="1" operator="containsText" text="classified">
      <formula>NOT(ISERROR(SEARCH("classified",P1)))</formula>
    </cfRule>
  </conditionalFormatting>
  <hyperlinks>
    <hyperlink ref="Q4" r:id="rId1" tooltip="Albania" xr:uid="{00000000-0004-0000-1B00-000000000000}"/>
    <hyperlink ref="Q5" r:id="rId2" tooltip="Algeria" xr:uid="{00000000-0004-0000-1B00-000001000000}"/>
    <hyperlink ref="Q6" r:id="rId3" tooltip="Angola" xr:uid="{00000000-0004-0000-1B00-000002000000}"/>
    <hyperlink ref="Q10" r:id="rId4" tooltip="Argentina" xr:uid="{00000000-0004-0000-1B00-000003000000}"/>
    <hyperlink ref="Q11" r:id="rId5" tooltip="Armenia" xr:uid="{00000000-0004-0000-1B00-000004000000}"/>
    <hyperlink ref="Q13" r:id="rId6" tooltip="Australia" xr:uid="{00000000-0004-0000-1B00-000005000000}"/>
    <hyperlink ref="Q14" r:id="rId7" tooltip="Austria" xr:uid="{00000000-0004-0000-1B00-000006000000}"/>
    <hyperlink ref="Q15" r:id="rId8" tooltip="Azerbaijan" xr:uid="{00000000-0004-0000-1B00-000007000000}"/>
    <hyperlink ref="Q16" r:id="rId9" tooltip="The Bahamas" xr:uid="{00000000-0004-0000-1B00-000008000000}"/>
    <hyperlink ref="Q17" r:id="rId10" tooltip="Bahrain" xr:uid="{00000000-0004-0000-1B00-000009000000}"/>
    <hyperlink ref="Q18" r:id="rId11" tooltip="Bangladesh" xr:uid="{00000000-0004-0000-1B00-00000A000000}"/>
    <hyperlink ref="Q19" r:id="rId12" tooltip="Barbados" xr:uid="{00000000-0004-0000-1B00-00000B000000}"/>
    <hyperlink ref="Q20" r:id="rId13" tooltip="Belarus" xr:uid="{00000000-0004-0000-1B00-00000C000000}"/>
    <hyperlink ref="Q21" r:id="rId14" tooltip="Belgium" xr:uid="{00000000-0004-0000-1B00-00000D000000}"/>
    <hyperlink ref="Q22" r:id="rId15" tooltip="Belize" xr:uid="{00000000-0004-0000-1B00-00000E000000}"/>
    <hyperlink ref="Q23" r:id="rId16" tooltip="Benin" xr:uid="{00000000-0004-0000-1B00-00000F000000}"/>
    <hyperlink ref="Q25" r:id="rId17" tooltip="Bhutan" xr:uid="{00000000-0004-0000-1B00-000010000000}"/>
    <hyperlink ref="Q26" r:id="rId18" tooltip="Bolivia" xr:uid="{00000000-0004-0000-1B00-000011000000}"/>
    <hyperlink ref="Q27" r:id="rId19" tooltip="Bosnia and Herzegovina" xr:uid="{00000000-0004-0000-1B00-000012000000}"/>
    <hyperlink ref="Q28" r:id="rId20" tooltip="Botswana" xr:uid="{00000000-0004-0000-1B00-000013000000}"/>
    <hyperlink ref="Q29" r:id="rId21" tooltip="Brazil" xr:uid="{00000000-0004-0000-1B00-000014000000}"/>
    <hyperlink ref="Q31" r:id="rId22" tooltip="Brunei" xr:uid="{00000000-0004-0000-1B00-000015000000}"/>
    <hyperlink ref="Q32" r:id="rId23" tooltip="Bulgaria" xr:uid="{00000000-0004-0000-1B00-000016000000}"/>
    <hyperlink ref="Q33" r:id="rId24" tooltip="Burkina Faso" xr:uid="{00000000-0004-0000-1B00-000017000000}"/>
    <hyperlink ref="Q34" r:id="rId25" tooltip="Burundi" xr:uid="{00000000-0004-0000-1B00-000018000000}"/>
    <hyperlink ref="Q35" r:id="rId26" tooltip="Cape Verde" xr:uid="{00000000-0004-0000-1B00-000019000000}"/>
    <hyperlink ref="Q36" r:id="rId27" tooltip="Cambodia" xr:uid="{00000000-0004-0000-1B00-00001A000000}"/>
    <hyperlink ref="Q37" r:id="rId28" tooltip="Cameroon" xr:uid="{00000000-0004-0000-1B00-00001B000000}"/>
    <hyperlink ref="Q38" r:id="rId29" tooltip="Canada" xr:uid="{00000000-0004-0000-1B00-00001C000000}"/>
    <hyperlink ref="Q40" r:id="rId30" tooltip="Central African Republic" xr:uid="{00000000-0004-0000-1B00-00001D000000}"/>
    <hyperlink ref="Q41" r:id="rId31" tooltip="Chad" xr:uid="{00000000-0004-0000-1B00-00001E000000}"/>
    <hyperlink ref="Q42" r:id="rId32" tooltip="Chile" xr:uid="{00000000-0004-0000-1B00-00001F000000}"/>
    <hyperlink ref="Q43" r:id="rId33" tooltip="China" xr:uid="{00000000-0004-0000-1B00-000020000000}"/>
    <hyperlink ref="Q44" r:id="rId34" tooltip="Colombia" xr:uid="{00000000-0004-0000-1B00-000021000000}"/>
    <hyperlink ref="Q45" r:id="rId35" tooltip="Comoros" xr:uid="{00000000-0004-0000-1B00-000022000000}"/>
    <hyperlink ref="Q47" r:id="rId36" tooltip="Democratic Republic of the Congo" xr:uid="{00000000-0004-0000-1B00-000023000000}"/>
    <hyperlink ref="Q49" r:id="rId37" tooltip="Costa Rica" xr:uid="{00000000-0004-0000-1B00-000024000000}"/>
    <hyperlink ref="Q50" r:id="rId38" tooltip="Ivory Coast" xr:uid="{00000000-0004-0000-1B00-000025000000}"/>
    <hyperlink ref="Q51" r:id="rId39" tooltip="Croatia" xr:uid="{00000000-0004-0000-1B00-000026000000}"/>
    <hyperlink ref="Q52" r:id="rId40" tooltip="Cuba" xr:uid="{00000000-0004-0000-1B00-000027000000}"/>
    <hyperlink ref="Q54" r:id="rId41" tooltip="Cyprus" xr:uid="{00000000-0004-0000-1B00-000028000000}"/>
    <hyperlink ref="Q55" r:id="rId42" tooltip="Czech Republic" xr:uid="{00000000-0004-0000-1B00-000029000000}"/>
    <hyperlink ref="Q56" r:id="rId43" tooltip="Denmark" xr:uid="{00000000-0004-0000-1B00-00002A000000}"/>
    <hyperlink ref="Q57" r:id="rId44" tooltip="Djibouti" xr:uid="{00000000-0004-0000-1B00-00002B000000}"/>
    <hyperlink ref="Q58" r:id="rId45" tooltip="Dominica" xr:uid="{00000000-0004-0000-1B00-00002C000000}"/>
    <hyperlink ref="Q59" r:id="rId46" tooltip="Dominican Republic" xr:uid="{00000000-0004-0000-1B00-00002D000000}"/>
    <hyperlink ref="Q60" r:id="rId47" tooltip="Ecuador" xr:uid="{00000000-0004-0000-1B00-00002E000000}"/>
    <hyperlink ref="Q61" r:id="rId48" tooltip="Egypt" xr:uid="{00000000-0004-0000-1B00-00002F000000}"/>
    <hyperlink ref="Q62" r:id="rId49" tooltip="El Salvador" xr:uid="{00000000-0004-0000-1B00-000030000000}"/>
    <hyperlink ref="Q63" r:id="rId50" tooltip="Equatorial Guinea" xr:uid="{00000000-0004-0000-1B00-000031000000}"/>
    <hyperlink ref="Q64" r:id="rId51" tooltip="Eritrea" xr:uid="{00000000-0004-0000-1B00-000032000000}"/>
    <hyperlink ref="Q65" r:id="rId52" tooltip="Estonia" xr:uid="{00000000-0004-0000-1B00-000033000000}"/>
    <hyperlink ref="Q66" r:id="rId53" tooltip="Ethiopia" xr:uid="{00000000-0004-0000-1B00-000034000000}"/>
    <hyperlink ref="Q68" r:id="rId54" tooltip="Fiji" xr:uid="{00000000-0004-0000-1B00-000035000000}"/>
    <hyperlink ref="Q69" r:id="rId55" tooltip="Finland" xr:uid="{00000000-0004-0000-1B00-000036000000}"/>
    <hyperlink ref="Q70" r:id="rId56" tooltip="France" xr:uid="{00000000-0004-0000-1B00-000037000000}"/>
    <hyperlink ref="Q72" r:id="rId57" tooltip="Gabon" xr:uid="{00000000-0004-0000-1B00-000038000000}"/>
    <hyperlink ref="Q73" r:id="rId58" tooltip="The Gambia" xr:uid="{00000000-0004-0000-1B00-000039000000}"/>
    <hyperlink ref="Q74" r:id="rId59" tooltip="Georgia (country)" xr:uid="{00000000-0004-0000-1B00-00003A000000}"/>
    <hyperlink ref="Q75" r:id="rId60" tooltip="Germany" xr:uid="{00000000-0004-0000-1B00-00003B000000}"/>
    <hyperlink ref="Q76" r:id="rId61" tooltip="Ghana" xr:uid="{00000000-0004-0000-1B00-00003C000000}"/>
    <hyperlink ref="Q78" r:id="rId62" tooltip="Greece" xr:uid="{00000000-0004-0000-1B00-00003D000000}"/>
    <hyperlink ref="Q82" r:id="rId63" tooltip="Guatemala" xr:uid="{00000000-0004-0000-1B00-00003E000000}"/>
    <hyperlink ref="Q83" r:id="rId64" tooltip="Guinea" xr:uid="{00000000-0004-0000-1B00-00003F000000}"/>
    <hyperlink ref="Q84" r:id="rId65" tooltip="Guinea-Bissau" xr:uid="{00000000-0004-0000-1B00-000040000000}"/>
    <hyperlink ref="Q85" r:id="rId66" tooltip="Guyana" xr:uid="{00000000-0004-0000-1B00-000041000000}"/>
    <hyperlink ref="Q86" r:id="rId67" tooltip="Haiti" xr:uid="{00000000-0004-0000-1B00-000042000000}"/>
    <hyperlink ref="Q87" r:id="rId68" tooltip="Honduras" xr:uid="{00000000-0004-0000-1B00-000043000000}"/>
    <hyperlink ref="Q88" r:id="rId69" tooltip="Hong Kong" xr:uid="{00000000-0004-0000-1B00-000044000000}"/>
    <hyperlink ref="Q89" r:id="rId70" tooltip="Hungary" xr:uid="{00000000-0004-0000-1B00-000045000000}"/>
    <hyperlink ref="Q90" r:id="rId71" tooltip="Iceland" xr:uid="{00000000-0004-0000-1B00-000046000000}"/>
    <hyperlink ref="Q91" r:id="rId72" tooltip="India" xr:uid="{00000000-0004-0000-1B00-000047000000}"/>
    <hyperlink ref="Q92" r:id="rId73" tooltip="Indonesia" xr:uid="{00000000-0004-0000-1B00-000048000000}"/>
    <hyperlink ref="Q93" r:id="rId74" tooltip="Iran" xr:uid="{00000000-0004-0000-1B00-000049000000}"/>
    <hyperlink ref="Q95" r:id="rId75" tooltip="Republic of Ireland" xr:uid="{00000000-0004-0000-1B00-00004A000000}"/>
    <hyperlink ref="Q97" r:id="rId76" tooltip="Israel" xr:uid="{00000000-0004-0000-1B00-00004B000000}"/>
    <hyperlink ref="Q98" r:id="rId77" tooltip="Italy" xr:uid="{00000000-0004-0000-1B00-00004C000000}"/>
    <hyperlink ref="Q99" r:id="rId78" tooltip="Jamaica" xr:uid="{00000000-0004-0000-1B00-00004D000000}"/>
    <hyperlink ref="Q100" r:id="rId79" tooltip="Japan" xr:uid="{00000000-0004-0000-1B00-00004E000000}"/>
    <hyperlink ref="Q101" r:id="rId80" tooltip="Jordan" xr:uid="{00000000-0004-0000-1B00-00004F000000}"/>
    <hyperlink ref="Q102" r:id="rId81" tooltip="Kazakhstan" xr:uid="{00000000-0004-0000-1B00-000050000000}"/>
    <hyperlink ref="Q103" r:id="rId82" tooltip="Kenya" xr:uid="{00000000-0004-0000-1B00-000051000000}"/>
    <hyperlink ref="Q104" r:id="rId83" tooltip="Kiribati" xr:uid="{00000000-0004-0000-1B00-000052000000}"/>
    <hyperlink ref="Q105" r:id="rId84" tooltip="North Korea" xr:uid="{00000000-0004-0000-1B00-000053000000}"/>
    <hyperlink ref="Q106" r:id="rId85" tooltip="South Korea" xr:uid="{00000000-0004-0000-1B00-000054000000}"/>
    <hyperlink ref="Q107" r:id="rId86" tooltip="Kosovo" xr:uid="{00000000-0004-0000-1B00-000055000000}"/>
    <hyperlink ref="Q108" r:id="rId87" tooltip="Kuwait" xr:uid="{00000000-0004-0000-1B00-000056000000}"/>
    <hyperlink ref="Q109" r:id="rId88" tooltip="Kyrgyzstan" xr:uid="{00000000-0004-0000-1B00-000057000000}"/>
    <hyperlink ref="Q110" r:id="rId89" tooltip="Laos" xr:uid="{00000000-0004-0000-1B00-000058000000}"/>
    <hyperlink ref="Q111" r:id="rId90" tooltip="Latvia" xr:uid="{00000000-0004-0000-1B00-000059000000}"/>
    <hyperlink ref="Q112" r:id="rId91" tooltip="Lebanon" xr:uid="{00000000-0004-0000-1B00-00005A000000}"/>
    <hyperlink ref="Q113" r:id="rId92" tooltip="Lesotho" xr:uid="{00000000-0004-0000-1B00-00005B000000}"/>
    <hyperlink ref="Q114" r:id="rId93" tooltip="Liberia" xr:uid="{00000000-0004-0000-1B00-00005C000000}"/>
    <hyperlink ref="Q117" r:id="rId94" tooltip="Lithuania" xr:uid="{00000000-0004-0000-1B00-00005D000000}"/>
    <hyperlink ref="Q118" r:id="rId95" tooltip="Luxembourg" xr:uid="{00000000-0004-0000-1B00-00005E000000}"/>
    <hyperlink ref="Q119" r:id="rId96" tooltip="Macau" xr:uid="{00000000-0004-0000-1B00-00005F000000}"/>
    <hyperlink ref="Q121" r:id="rId97" tooltip="Madagascar" xr:uid="{00000000-0004-0000-1B00-000060000000}"/>
    <hyperlink ref="Q122" r:id="rId98" tooltip="Malawi" xr:uid="{00000000-0004-0000-1B00-000061000000}"/>
    <hyperlink ref="Q123" r:id="rId99" tooltip="Malaysia" xr:uid="{00000000-0004-0000-1B00-000062000000}"/>
    <hyperlink ref="Q124" r:id="rId100" tooltip="Maldives" xr:uid="{00000000-0004-0000-1B00-000063000000}"/>
    <hyperlink ref="Q125" r:id="rId101" tooltip="Mali" xr:uid="{00000000-0004-0000-1B00-000064000000}"/>
    <hyperlink ref="Q126" r:id="rId102" tooltip="Malta" xr:uid="{00000000-0004-0000-1B00-000065000000}"/>
    <hyperlink ref="Q128" r:id="rId103" tooltip="Mauritania" xr:uid="{00000000-0004-0000-1B00-000066000000}"/>
    <hyperlink ref="Q129" r:id="rId104" tooltip="Mauritius" xr:uid="{00000000-0004-0000-1B00-000067000000}"/>
    <hyperlink ref="Q130" r:id="rId105" tooltip="Mexico" xr:uid="{00000000-0004-0000-1B00-000068000000}"/>
    <hyperlink ref="Q131" r:id="rId106" tooltip="Federated States of Micronesia" xr:uid="{00000000-0004-0000-1B00-000069000000}"/>
    <hyperlink ref="Q132" r:id="rId107" tooltip="Moldova" xr:uid="{00000000-0004-0000-1B00-00006A000000}"/>
    <hyperlink ref="Q134" r:id="rId108" tooltip="Mongolia" xr:uid="{00000000-0004-0000-1B00-00006B000000}"/>
    <hyperlink ref="Q135" r:id="rId109" tooltip="Montenegro" xr:uid="{00000000-0004-0000-1B00-00006C000000}"/>
    <hyperlink ref="Q136" r:id="rId110" tooltip="Morocco" xr:uid="{00000000-0004-0000-1B00-00006D000000}"/>
    <hyperlink ref="Q137" r:id="rId111" tooltip="Mozambique" xr:uid="{00000000-0004-0000-1B00-00006E000000}"/>
    <hyperlink ref="Q138" r:id="rId112" tooltip="Myanmar" xr:uid="{00000000-0004-0000-1B00-00006F000000}"/>
    <hyperlink ref="Q139" r:id="rId113" tooltip="Namibia" xr:uid="{00000000-0004-0000-1B00-000070000000}"/>
    <hyperlink ref="Q141" r:id="rId114" tooltip="Nepal" xr:uid="{00000000-0004-0000-1B00-000071000000}"/>
    <hyperlink ref="Q142" r:id="rId115" tooltip="Netherlands" xr:uid="{00000000-0004-0000-1B00-000072000000}"/>
    <hyperlink ref="Q144" r:id="rId116" tooltip="New Zealand" xr:uid="{00000000-0004-0000-1B00-000073000000}"/>
    <hyperlink ref="Q145" r:id="rId117" tooltip="Nicaragua" xr:uid="{00000000-0004-0000-1B00-000074000000}"/>
    <hyperlink ref="Q146" r:id="rId118" tooltip="Niger" xr:uid="{00000000-0004-0000-1B00-000075000000}"/>
    <hyperlink ref="Q147" r:id="rId119" tooltip="Nigeria" xr:uid="{00000000-0004-0000-1B00-000076000000}"/>
    <hyperlink ref="Q149" r:id="rId120" tooltip="North Macedonia" xr:uid="{00000000-0004-0000-1B00-000077000000}"/>
    <hyperlink ref="Q150" r:id="rId121" tooltip="Norway" xr:uid="{00000000-0004-0000-1B00-000078000000}"/>
    <hyperlink ref="Q151" r:id="rId122" tooltip="Oman" xr:uid="{00000000-0004-0000-1B00-000079000000}"/>
    <hyperlink ref="Q152" r:id="rId123" tooltip="Pakistan" xr:uid="{00000000-0004-0000-1B00-00007A000000}"/>
    <hyperlink ref="Q153" r:id="rId124" tooltip="Panama" xr:uid="{00000000-0004-0000-1B00-00007B000000}"/>
    <hyperlink ref="Q154" r:id="rId125" tooltip="Papua New Guinea" xr:uid="{00000000-0004-0000-1B00-00007C000000}"/>
    <hyperlink ref="Q155" r:id="rId126" tooltip="Paraguay" xr:uid="{00000000-0004-0000-1B00-00007D000000}"/>
    <hyperlink ref="Q156" r:id="rId127" tooltip="Peru" xr:uid="{00000000-0004-0000-1B00-00007E000000}"/>
    <hyperlink ref="Q157" r:id="rId128" tooltip="Philippines" xr:uid="{00000000-0004-0000-1B00-00007F000000}"/>
    <hyperlink ref="Q158" r:id="rId129" tooltip="Poland" xr:uid="{00000000-0004-0000-1B00-000080000000}"/>
    <hyperlink ref="Q159" r:id="rId130" tooltip="Portugal" xr:uid="{00000000-0004-0000-1B00-000081000000}"/>
    <hyperlink ref="Q160" r:id="rId131" tooltip="Qatar" xr:uid="{00000000-0004-0000-1B00-000082000000}"/>
    <hyperlink ref="Q161" r:id="rId132" tooltip="Republic of the Congo" xr:uid="{00000000-0004-0000-1B00-000083000000}"/>
    <hyperlink ref="Q162" r:id="rId133" tooltip="Romania" xr:uid="{00000000-0004-0000-1B00-000084000000}"/>
    <hyperlink ref="Q163" r:id="rId134" tooltip="Russia" xr:uid="{00000000-0004-0000-1B00-000085000000}"/>
    <hyperlink ref="Q164" r:id="rId135" tooltip="Rwanda" xr:uid="{00000000-0004-0000-1B00-000086000000}"/>
    <hyperlink ref="Q165" r:id="rId136" tooltip="Saint Lucia" xr:uid="{00000000-0004-0000-1B00-000087000000}"/>
    <hyperlink ref="Q166" r:id="rId137" tooltip="Saint Vincent and the Grenadines" xr:uid="{00000000-0004-0000-1B00-000088000000}"/>
    <hyperlink ref="Q167" r:id="rId138" tooltip="Samoa" xr:uid="{00000000-0004-0000-1B00-000089000000}"/>
    <hyperlink ref="Q168" r:id="rId139" tooltip="São Tomé and Príncipe" xr:uid="{00000000-0004-0000-1B00-00008A000000}"/>
    <hyperlink ref="Q169" r:id="rId140" tooltip="Saudi Arabia" xr:uid="{00000000-0004-0000-1B00-00008B000000}"/>
    <hyperlink ref="Q170" r:id="rId141" tooltip="Senegal" xr:uid="{00000000-0004-0000-1B00-00008C000000}"/>
    <hyperlink ref="Q171" r:id="rId142" tooltip="Serbia" xr:uid="{00000000-0004-0000-1B00-00008D000000}"/>
    <hyperlink ref="Q172" r:id="rId143" tooltip="Seychelles" xr:uid="{00000000-0004-0000-1B00-00008E000000}"/>
    <hyperlink ref="Q173" r:id="rId144" tooltip="Sierra Leone" xr:uid="{00000000-0004-0000-1B00-00008F000000}"/>
    <hyperlink ref="Q174" r:id="rId145" tooltip="Singapore" xr:uid="{00000000-0004-0000-1B00-000090000000}"/>
    <hyperlink ref="Q175" r:id="rId146" tooltip="Slovakia" xr:uid="{00000000-0004-0000-1B00-000091000000}"/>
    <hyperlink ref="Q176" r:id="rId147" tooltip="Slovenia" xr:uid="{00000000-0004-0000-1B00-000092000000}"/>
    <hyperlink ref="Q177" r:id="rId148" tooltip="Solomon Islands" xr:uid="{00000000-0004-0000-1B00-000093000000}"/>
    <hyperlink ref="Q179" r:id="rId149" tooltip="South Africa" xr:uid="{00000000-0004-0000-1B00-000094000000}"/>
    <hyperlink ref="Q181" r:id="rId150" tooltip="Spain" xr:uid="{00000000-0004-0000-1B00-000095000000}"/>
    <hyperlink ref="Q182" r:id="rId151" tooltip="Sri Lanka" xr:uid="{00000000-0004-0000-1B00-000096000000}"/>
    <hyperlink ref="Q187" r:id="rId152" tooltip="Sudan" xr:uid="{00000000-0004-0000-1B00-000097000000}"/>
    <hyperlink ref="Q188" r:id="rId153" tooltip="Suriname" xr:uid="{00000000-0004-0000-1B00-000098000000}"/>
    <hyperlink ref="Q189" r:id="rId154" tooltip="Eswatini" xr:uid="{00000000-0004-0000-1B00-000099000000}"/>
    <hyperlink ref="Q190" r:id="rId155" tooltip="Sweden" xr:uid="{00000000-0004-0000-1B00-00009A000000}"/>
    <hyperlink ref="Q191" r:id="rId156" tooltip="Switzerland" xr:uid="{00000000-0004-0000-1B00-00009B000000}"/>
    <hyperlink ref="Q193" r:id="rId157" tooltip="Taiwan" xr:uid="{00000000-0004-0000-1B00-00009C000000}"/>
    <hyperlink ref="Q194" r:id="rId158" tooltip="Tajikistan" xr:uid="{00000000-0004-0000-1B00-00009D000000}"/>
    <hyperlink ref="Q196" r:id="rId159" tooltip="Thailand" xr:uid="{00000000-0004-0000-1B00-00009E000000}"/>
    <hyperlink ref="Q197" r:id="rId160" tooltip="East Timor" xr:uid="{00000000-0004-0000-1B00-00009F000000}"/>
    <hyperlink ref="Q198" r:id="rId161" tooltip="Togo" xr:uid="{00000000-0004-0000-1B00-0000A0000000}"/>
    <hyperlink ref="Q199" r:id="rId162" tooltip="Tonga" xr:uid="{00000000-0004-0000-1B00-0000A1000000}"/>
    <hyperlink ref="Q200" r:id="rId163" tooltip="Trinidad and Tobago" xr:uid="{00000000-0004-0000-1B00-0000A2000000}"/>
    <hyperlink ref="Q201" r:id="rId164" tooltip="Tunisia" xr:uid="{00000000-0004-0000-1B00-0000A3000000}"/>
    <hyperlink ref="Q202" r:id="rId165" tooltip="Turkey" xr:uid="{00000000-0004-0000-1B00-0000A4000000}"/>
    <hyperlink ref="Q203" r:id="rId166" tooltip="Turkmenistan" xr:uid="{00000000-0004-0000-1B00-0000A5000000}"/>
    <hyperlink ref="Q206" r:id="rId167" tooltip="Uganda" xr:uid="{00000000-0004-0000-1B00-0000A6000000}"/>
    <hyperlink ref="Q207" r:id="rId168" tooltip="Ukraine" xr:uid="{00000000-0004-0000-1B00-0000A7000000}"/>
    <hyperlink ref="Q208" r:id="rId169" tooltip="United Arab Emirates" xr:uid="{00000000-0004-0000-1B00-0000A8000000}"/>
    <hyperlink ref="Q209" r:id="rId170" tooltip="United Kingdom" xr:uid="{00000000-0004-0000-1B00-0000A9000000}"/>
    <hyperlink ref="Q210" r:id="rId171" tooltip="United States" xr:uid="{00000000-0004-0000-1B00-0000AA000000}"/>
    <hyperlink ref="Q211" r:id="rId172" tooltip="Uruguay" xr:uid="{00000000-0004-0000-1B00-0000AB000000}"/>
    <hyperlink ref="Q212" r:id="rId173" tooltip="Uzbekistan" xr:uid="{00000000-0004-0000-1B00-0000AC000000}"/>
    <hyperlink ref="Q213" r:id="rId174" tooltip="Vanuatu" xr:uid="{00000000-0004-0000-1B00-0000AD000000}"/>
    <hyperlink ref="Q214" r:id="rId175" tooltip="Venezuela" xr:uid="{00000000-0004-0000-1B00-0000AE000000}"/>
    <hyperlink ref="Q215" r:id="rId176" tooltip="Vietnam" xr:uid="{00000000-0004-0000-1B00-0000AF000000}"/>
    <hyperlink ref="Q219" r:id="rId177" tooltip="Zambia" xr:uid="{00000000-0004-0000-1B00-0000B0000000}"/>
    <hyperlink ref="Q220" r:id="rId178" tooltip="Zimbabwe" xr:uid="{00000000-0004-0000-1B00-0000B1000000}"/>
  </hyperlinks>
  <pageMargins left="0.7" right="0.7" top="0.75" bottom="0.75" header="0.3" footer="0.3"/>
  <pageSetup paperSize="9" orientation="portrait"/>
  <drawing r:id="rId179"/>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D181-C5B1-1641-9707-992771D29247}">
  <dimension ref="A1:M107"/>
  <sheetViews>
    <sheetView zoomScaleNormal="100" workbookViewId="0">
      <selection activeCell="A108" sqref="A108:XFD115"/>
    </sheetView>
  </sheetViews>
  <sheetFormatPr baseColWidth="10" defaultRowHeight="15" x14ac:dyDescent="0.2"/>
  <cols>
    <col min="1" max="1" width="5.83203125" customWidth="1"/>
    <col min="2" max="2" width="34.1640625" customWidth="1"/>
    <col min="3" max="3" width="11.5" customWidth="1"/>
    <col min="4" max="4" width="11.5" style="1" customWidth="1"/>
    <col min="6" max="6" width="16.33203125" customWidth="1"/>
    <col min="12" max="12" width="97.1640625" customWidth="1"/>
    <col min="14" max="14" width="12.1640625" bestFit="1" customWidth="1"/>
    <col min="15" max="15" width="24" bestFit="1" customWidth="1"/>
  </cols>
  <sheetData>
    <row r="1" spans="1:13" x14ac:dyDescent="0.2">
      <c r="A1" t="s">
        <v>746</v>
      </c>
      <c r="B1" t="s">
        <v>493</v>
      </c>
      <c r="C1" t="s">
        <v>839</v>
      </c>
      <c r="D1" s="2" t="s">
        <v>1516</v>
      </c>
      <c r="E1" s="7" t="s">
        <v>1517</v>
      </c>
      <c r="F1" t="s">
        <v>838</v>
      </c>
      <c r="G1" s="7" t="s">
        <v>483</v>
      </c>
      <c r="H1" t="s">
        <v>496</v>
      </c>
      <c r="I1" t="s">
        <v>1383</v>
      </c>
      <c r="J1" t="s">
        <v>1495</v>
      </c>
      <c r="K1" t="s">
        <v>1496</v>
      </c>
      <c r="L1" t="s">
        <v>1384</v>
      </c>
      <c r="M1" t="s">
        <v>1518</v>
      </c>
    </row>
    <row r="2" spans="1:13" x14ac:dyDescent="0.2">
      <c r="A2">
        <v>1</v>
      </c>
      <c r="B2" t="s">
        <v>637</v>
      </c>
      <c r="C2" t="s">
        <v>845</v>
      </c>
      <c r="D2" s="1">
        <v>1</v>
      </c>
      <c r="E2">
        <v>3.5</v>
      </c>
      <c r="F2" t="s">
        <v>814</v>
      </c>
      <c r="G2">
        <v>2004</v>
      </c>
      <c r="H2" t="s">
        <v>74</v>
      </c>
      <c r="I2" t="s">
        <v>1385</v>
      </c>
      <c r="J2">
        <f t="shared" ref="J2:J33" si="0">SUM(D2-E2)</f>
        <v>-2.5</v>
      </c>
      <c r="K2">
        <f t="shared" ref="K2:K33" si="1">ABS(J2)</f>
        <v>2.5</v>
      </c>
      <c r="L2" t="s">
        <v>1386</v>
      </c>
      <c r="M2" t="s">
        <v>1519</v>
      </c>
    </row>
    <row r="3" spans="1:13" x14ac:dyDescent="0.2">
      <c r="A3">
        <v>2</v>
      </c>
      <c r="B3" t="s">
        <v>640</v>
      </c>
      <c r="C3" t="s">
        <v>10</v>
      </c>
      <c r="D3" s="1">
        <v>4</v>
      </c>
      <c r="E3">
        <v>4.5</v>
      </c>
      <c r="F3" t="s">
        <v>814</v>
      </c>
      <c r="G3">
        <v>2012</v>
      </c>
      <c r="H3" t="s">
        <v>461</v>
      </c>
      <c r="I3" t="s">
        <v>1387</v>
      </c>
      <c r="J3">
        <f t="shared" si="0"/>
        <v>-0.5</v>
      </c>
      <c r="K3">
        <f t="shared" si="1"/>
        <v>0.5</v>
      </c>
      <c r="L3" t="s">
        <v>1388</v>
      </c>
    </row>
    <row r="4" spans="1:13" x14ac:dyDescent="0.2">
      <c r="A4">
        <v>3</v>
      </c>
      <c r="B4" t="s">
        <v>643</v>
      </c>
      <c r="C4" t="s">
        <v>10</v>
      </c>
      <c r="D4" s="1">
        <v>4</v>
      </c>
      <c r="E4">
        <v>6</v>
      </c>
      <c r="F4" t="s">
        <v>814</v>
      </c>
      <c r="G4">
        <v>2005</v>
      </c>
      <c r="H4" t="s">
        <v>461</v>
      </c>
      <c r="I4" t="s">
        <v>1389</v>
      </c>
      <c r="J4">
        <f t="shared" si="0"/>
        <v>-2</v>
      </c>
      <c r="K4">
        <f t="shared" si="1"/>
        <v>2</v>
      </c>
      <c r="L4" t="s">
        <v>1390</v>
      </c>
    </row>
    <row r="5" spans="1:13" x14ac:dyDescent="0.2">
      <c r="A5">
        <v>4</v>
      </c>
      <c r="B5" t="s">
        <v>645</v>
      </c>
      <c r="C5" t="s">
        <v>845</v>
      </c>
      <c r="D5" s="1">
        <v>1</v>
      </c>
      <c r="E5">
        <v>4.5</v>
      </c>
      <c r="F5" t="s">
        <v>814</v>
      </c>
      <c r="G5">
        <v>2014</v>
      </c>
      <c r="H5" t="s">
        <v>222</v>
      </c>
      <c r="I5" t="s">
        <v>1387</v>
      </c>
      <c r="J5">
        <f t="shared" si="0"/>
        <v>-3.5</v>
      </c>
      <c r="K5">
        <f t="shared" si="1"/>
        <v>3.5</v>
      </c>
      <c r="L5" t="s">
        <v>1391</v>
      </c>
    </row>
    <row r="6" spans="1:13" x14ac:dyDescent="0.2">
      <c r="A6">
        <v>5</v>
      </c>
      <c r="B6" t="s">
        <v>646</v>
      </c>
      <c r="C6" t="s">
        <v>10</v>
      </c>
      <c r="D6" s="1">
        <v>4</v>
      </c>
      <c r="E6">
        <v>5</v>
      </c>
      <c r="F6" t="s">
        <v>47</v>
      </c>
      <c r="G6">
        <v>2013</v>
      </c>
      <c r="H6" t="s">
        <v>355</v>
      </c>
      <c r="I6" t="s">
        <v>1392</v>
      </c>
      <c r="J6">
        <f t="shared" si="0"/>
        <v>-1</v>
      </c>
      <c r="K6">
        <f t="shared" si="1"/>
        <v>1</v>
      </c>
      <c r="L6" t="s">
        <v>1393</v>
      </c>
    </row>
    <row r="7" spans="1:13" x14ac:dyDescent="0.2">
      <c r="A7">
        <v>6</v>
      </c>
      <c r="B7" t="s">
        <v>647</v>
      </c>
      <c r="C7" t="s">
        <v>13</v>
      </c>
      <c r="D7" s="1">
        <v>1</v>
      </c>
      <c r="E7">
        <v>3.5</v>
      </c>
      <c r="F7" t="s">
        <v>47</v>
      </c>
      <c r="G7">
        <v>2017</v>
      </c>
      <c r="H7" t="s">
        <v>471</v>
      </c>
      <c r="I7" t="s">
        <v>1385</v>
      </c>
      <c r="J7">
        <f t="shared" si="0"/>
        <v>-2.5</v>
      </c>
      <c r="K7">
        <f t="shared" si="1"/>
        <v>2.5</v>
      </c>
      <c r="L7" t="s">
        <v>1394</v>
      </c>
    </row>
    <row r="8" spans="1:13" x14ac:dyDescent="0.2">
      <c r="A8">
        <v>7</v>
      </c>
      <c r="B8" t="s">
        <v>648</v>
      </c>
      <c r="C8" t="s">
        <v>21</v>
      </c>
      <c r="D8" s="1">
        <v>1</v>
      </c>
      <c r="E8">
        <v>2.5</v>
      </c>
      <c r="F8" t="s">
        <v>47</v>
      </c>
      <c r="G8">
        <v>2013</v>
      </c>
      <c r="H8" t="s">
        <v>190</v>
      </c>
      <c r="I8" t="s">
        <v>1395</v>
      </c>
      <c r="J8">
        <f t="shared" si="0"/>
        <v>-1.5</v>
      </c>
      <c r="K8">
        <f t="shared" si="1"/>
        <v>1.5</v>
      </c>
      <c r="L8" t="s">
        <v>1396</v>
      </c>
    </row>
    <row r="9" spans="1:13" x14ac:dyDescent="0.2">
      <c r="A9">
        <v>8</v>
      </c>
      <c r="B9" t="s">
        <v>649</v>
      </c>
      <c r="C9" t="s">
        <v>22</v>
      </c>
      <c r="D9" s="1">
        <v>1.5</v>
      </c>
      <c r="E9">
        <v>2</v>
      </c>
      <c r="F9" t="s">
        <v>47</v>
      </c>
      <c r="G9">
        <v>2007</v>
      </c>
      <c r="H9" t="s">
        <v>459</v>
      </c>
      <c r="I9" t="s">
        <v>1397</v>
      </c>
      <c r="J9">
        <f t="shared" si="0"/>
        <v>-0.5</v>
      </c>
      <c r="K9">
        <f t="shared" si="1"/>
        <v>0.5</v>
      </c>
      <c r="L9" t="s">
        <v>1398</v>
      </c>
    </row>
    <row r="10" spans="1:13" x14ac:dyDescent="0.2">
      <c r="A10">
        <v>9</v>
      </c>
      <c r="B10" t="s">
        <v>650</v>
      </c>
      <c r="C10" t="s">
        <v>22</v>
      </c>
      <c r="D10" s="1">
        <v>1.5</v>
      </c>
      <c r="E10">
        <v>2.5</v>
      </c>
      <c r="F10" t="s">
        <v>32</v>
      </c>
      <c r="G10">
        <v>2004</v>
      </c>
      <c r="H10" t="s">
        <v>240</v>
      </c>
      <c r="I10" t="s">
        <v>1395</v>
      </c>
      <c r="J10">
        <f t="shared" si="0"/>
        <v>-1</v>
      </c>
      <c r="K10">
        <f t="shared" si="1"/>
        <v>1</v>
      </c>
      <c r="L10" t="s">
        <v>1399</v>
      </c>
    </row>
    <row r="11" spans="1:13" x14ac:dyDescent="0.2">
      <c r="A11">
        <v>10</v>
      </c>
      <c r="B11" t="s">
        <v>651</v>
      </c>
      <c r="C11" t="s">
        <v>22</v>
      </c>
      <c r="D11" s="1">
        <v>1.5</v>
      </c>
      <c r="E11">
        <v>3.5</v>
      </c>
      <c r="F11" t="s">
        <v>32</v>
      </c>
      <c r="G11">
        <v>2010</v>
      </c>
      <c r="H11" t="s">
        <v>127</v>
      </c>
      <c r="I11" t="s">
        <v>1385</v>
      </c>
      <c r="J11">
        <f t="shared" si="0"/>
        <v>-2</v>
      </c>
      <c r="K11">
        <f t="shared" si="1"/>
        <v>2</v>
      </c>
      <c r="L11" t="s">
        <v>1400</v>
      </c>
    </row>
    <row r="12" spans="1:13" x14ac:dyDescent="0.2">
      <c r="A12">
        <v>11</v>
      </c>
      <c r="B12" t="s">
        <v>652</v>
      </c>
      <c r="C12" t="s">
        <v>10</v>
      </c>
      <c r="D12" s="1">
        <v>4</v>
      </c>
      <c r="E12">
        <v>6.5</v>
      </c>
      <c r="F12" t="s">
        <v>814</v>
      </c>
      <c r="G12">
        <v>1998</v>
      </c>
      <c r="H12" t="s">
        <v>214</v>
      </c>
      <c r="I12" t="s">
        <v>1401</v>
      </c>
      <c r="J12">
        <f t="shared" si="0"/>
        <v>-2.5</v>
      </c>
      <c r="K12">
        <f t="shared" si="1"/>
        <v>2.5</v>
      </c>
      <c r="L12" t="s">
        <v>1402</v>
      </c>
    </row>
    <row r="13" spans="1:13" x14ac:dyDescent="0.2">
      <c r="A13">
        <v>12</v>
      </c>
      <c r="B13" t="s">
        <v>653</v>
      </c>
      <c r="C13" t="s">
        <v>22</v>
      </c>
      <c r="D13" s="1">
        <v>1.5</v>
      </c>
      <c r="E13">
        <v>2.5</v>
      </c>
      <c r="F13" t="s">
        <v>32</v>
      </c>
      <c r="G13">
        <v>2004</v>
      </c>
      <c r="H13" t="s">
        <v>1403</v>
      </c>
      <c r="I13" t="s">
        <v>1395</v>
      </c>
      <c r="J13">
        <f t="shared" si="0"/>
        <v>-1</v>
      </c>
      <c r="K13">
        <f t="shared" si="1"/>
        <v>1</v>
      </c>
      <c r="L13" t="s">
        <v>1404</v>
      </c>
    </row>
    <row r="14" spans="1:13" x14ac:dyDescent="0.2">
      <c r="A14">
        <v>13</v>
      </c>
      <c r="B14" t="s">
        <v>654</v>
      </c>
      <c r="C14" t="s">
        <v>22</v>
      </c>
      <c r="D14" s="1">
        <v>1.5</v>
      </c>
      <c r="E14">
        <v>3.5</v>
      </c>
      <c r="F14" t="s">
        <v>814</v>
      </c>
      <c r="G14">
        <v>2004</v>
      </c>
      <c r="H14" t="s">
        <v>238</v>
      </c>
      <c r="I14" t="s">
        <v>1385</v>
      </c>
      <c r="J14">
        <f t="shared" si="0"/>
        <v>-2</v>
      </c>
      <c r="K14">
        <f t="shared" si="1"/>
        <v>2</v>
      </c>
      <c r="L14" t="s">
        <v>1405</v>
      </c>
    </row>
    <row r="15" spans="1:13" x14ac:dyDescent="0.2">
      <c r="A15">
        <v>14</v>
      </c>
      <c r="B15" t="s">
        <v>655</v>
      </c>
      <c r="C15" t="s">
        <v>22</v>
      </c>
      <c r="D15" s="1">
        <v>1.5</v>
      </c>
      <c r="E15">
        <v>2.5</v>
      </c>
      <c r="F15" t="s">
        <v>47</v>
      </c>
      <c r="G15">
        <v>1994</v>
      </c>
      <c r="H15" t="s">
        <v>461</v>
      </c>
      <c r="I15" t="s">
        <v>1395</v>
      </c>
      <c r="J15">
        <f t="shared" si="0"/>
        <v>-1</v>
      </c>
      <c r="K15">
        <f t="shared" si="1"/>
        <v>1</v>
      </c>
      <c r="L15" t="s">
        <v>1390</v>
      </c>
    </row>
    <row r="16" spans="1:13" x14ac:dyDescent="0.2">
      <c r="A16">
        <v>15</v>
      </c>
      <c r="B16" t="s">
        <v>658</v>
      </c>
      <c r="C16" t="s">
        <v>816</v>
      </c>
      <c r="D16" s="1">
        <v>8</v>
      </c>
      <c r="E16">
        <v>6.5</v>
      </c>
      <c r="F16" t="s">
        <v>47</v>
      </c>
      <c r="G16">
        <v>2003</v>
      </c>
      <c r="H16" t="s">
        <v>1169</v>
      </c>
      <c r="I16" t="s">
        <v>1401</v>
      </c>
      <c r="J16">
        <f t="shared" si="0"/>
        <v>1.5</v>
      </c>
      <c r="K16">
        <f t="shared" si="1"/>
        <v>1.5</v>
      </c>
      <c r="L16" t="s">
        <v>1406</v>
      </c>
    </row>
    <row r="17" spans="1:12" x14ac:dyDescent="0.2">
      <c r="A17">
        <v>16</v>
      </c>
      <c r="B17" t="s">
        <v>659</v>
      </c>
      <c r="C17" t="s">
        <v>10</v>
      </c>
      <c r="D17" s="1">
        <v>4</v>
      </c>
      <c r="E17">
        <v>7</v>
      </c>
      <c r="F17" t="s">
        <v>47</v>
      </c>
      <c r="G17">
        <v>2004</v>
      </c>
      <c r="H17" t="s">
        <v>433</v>
      </c>
      <c r="I17" t="s">
        <v>1407</v>
      </c>
      <c r="J17">
        <f t="shared" si="0"/>
        <v>-3</v>
      </c>
      <c r="K17">
        <f t="shared" si="1"/>
        <v>3</v>
      </c>
      <c r="L17" t="s">
        <v>1408</v>
      </c>
    </row>
    <row r="18" spans="1:12" x14ac:dyDescent="0.2">
      <c r="A18">
        <v>17</v>
      </c>
      <c r="B18" t="s">
        <v>660</v>
      </c>
      <c r="C18" t="s">
        <v>816</v>
      </c>
      <c r="D18" s="1">
        <v>8</v>
      </c>
      <c r="E18">
        <v>7</v>
      </c>
      <c r="F18" t="s">
        <v>47</v>
      </c>
      <c r="G18">
        <v>2005</v>
      </c>
      <c r="H18" t="s">
        <v>343</v>
      </c>
      <c r="I18" t="s">
        <v>1407</v>
      </c>
      <c r="J18">
        <f t="shared" si="0"/>
        <v>1</v>
      </c>
      <c r="K18">
        <f t="shared" si="1"/>
        <v>1</v>
      </c>
      <c r="L18" t="s">
        <v>1409</v>
      </c>
    </row>
    <row r="19" spans="1:12" x14ac:dyDescent="0.2">
      <c r="A19">
        <v>18</v>
      </c>
      <c r="B19" t="s">
        <v>661</v>
      </c>
      <c r="C19" t="s">
        <v>22</v>
      </c>
      <c r="D19" s="1">
        <v>1.5</v>
      </c>
      <c r="E19">
        <v>5</v>
      </c>
      <c r="F19" t="s">
        <v>47</v>
      </c>
      <c r="G19">
        <v>2008</v>
      </c>
      <c r="H19" t="s">
        <v>127</v>
      </c>
      <c r="I19" t="s">
        <v>1410</v>
      </c>
      <c r="J19">
        <f t="shared" si="0"/>
        <v>-3.5</v>
      </c>
      <c r="K19">
        <f t="shared" si="1"/>
        <v>3.5</v>
      </c>
      <c r="L19" t="s">
        <v>1411</v>
      </c>
    </row>
    <row r="20" spans="1:12" x14ac:dyDescent="0.2">
      <c r="A20">
        <v>19</v>
      </c>
      <c r="B20" t="s">
        <v>662</v>
      </c>
      <c r="C20" t="s">
        <v>816</v>
      </c>
      <c r="D20" s="1">
        <v>8</v>
      </c>
      <c r="E20">
        <v>4.5</v>
      </c>
      <c r="F20" t="s">
        <v>47</v>
      </c>
      <c r="G20">
        <v>2009</v>
      </c>
      <c r="H20" t="s">
        <v>236</v>
      </c>
      <c r="I20" t="s">
        <v>1387</v>
      </c>
      <c r="J20">
        <f t="shared" si="0"/>
        <v>3.5</v>
      </c>
      <c r="K20">
        <f t="shared" si="1"/>
        <v>3.5</v>
      </c>
      <c r="L20" t="s">
        <v>1412</v>
      </c>
    </row>
    <row r="21" spans="1:12" x14ac:dyDescent="0.2">
      <c r="A21">
        <v>20</v>
      </c>
      <c r="B21" t="s">
        <v>994</v>
      </c>
      <c r="C21" t="s">
        <v>10</v>
      </c>
      <c r="D21" s="1">
        <v>4</v>
      </c>
      <c r="E21">
        <v>5</v>
      </c>
      <c r="F21" t="s">
        <v>47</v>
      </c>
      <c r="G21">
        <v>2010</v>
      </c>
      <c r="H21" t="s">
        <v>125</v>
      </c>
      <c r="I21" t="s">
        <v>1392</v>
      </c>
      <c r="J21">
        <f t="shared" si="0"/>
        <v>-1</v>
      </c>
      <c r="K21">
        <f t="shared" si="1"/>
        <v>1</v>
      </c>
      <c r="L21" t="s">
        <v>1413</v>
      </c>
    </row>
    <row r="22" spans="1:12" x14ac:dyDescent="0.2">
      <c r="A22">
        <v>21</v>
      </c>
      <c r="B22" t="s">
        <v>663</v>
      </c>
      <c r="C22" t="s">
        <v>10</v>
      </c>
      <c r="D22" s="1">
        <v>4</v>
      </c>
      <c r="E22">
        <v>5.5</v>
      </c>
      <c r="F22" t="s">
        <v>47</v>
      </c>
      <c r="G22">
        <v>2011</v>
      </c>
      <c r="H22" t="s">
        <v>329</v>
      </c>
      <c r="I22" t="s">
        <v>1410</v>
      </c>
      <c r="J22">
        <f t="shared" si="0"/>
        <v>-1.5</v>
      </c>
      <c r="K22">
        <f t="shared" si="1"/>
        <v>1.5</v>
      </c>
      <c r="L22" t="s">
        <v>1414</v>
      </c>
    </row>
    <row r="23" spans="1:12" x14ac:dyDescent="0.2">
      <c r="A23">
        <v>22</v>
      </c>
      <c r="B23" t="s">
        <v>664</v>
      </c>
      <c r="C23" t="s">
        <v>816</v>
      </c>
      <c r="D23" s="1">
        <v>8</v>
      </c>
      <c r="E23">
        <v>7.5</v>
      </c>
      <c r="F23" t="s">
        <v>47</v>
      </c>
      <c r="G23">
        <v>2011</v>
      </c>
      <c r="H23" t="s">
        <v>240</v>
      </c>
      <c r="I23" t="s">
        <v>1415</v>
      </c>
      <c r="J23">
        <f t="shared" si="0"/>
        <v>0.5</v>
      </c>
      <c r="K23">
        <f t="shared" si="1"/>
        <v>0.5</v>
      </c>
      <c r="L23" t="s">
        <v>1416</v>
      </c>
    </row>
    <row r="24" spans="1:12" x14ac:dyDescent="0.2">
      <c r="A24">
        <v>23</v>
      </c>
      <c r="B24" t="s">
        <v>665</v>
      </c>
      <c r="C24" t="s">
        <v>22</v>
      </c>
      <c r="D24" s="1">
        <v>1.5</v>
      </c>
      <c r="E24">
        <v>4.5</v>
      </c>
      <c r="F24" t="s">
        <v>47</v>
      </c>
      <c r="G24">
        <v>2011</v>
      </c>
      <c r="H24" t="s">
        <v>445</v>
      </c>
      <c r="I24" t="s">
        <v>1387</v>
      </c>
      <c r="J24">
        <f t="shared" si="0"/>
        <v>-3</v>
      </c>
      <c r="K24">
        <f t="shared" si="1"/>
        <v>3</v>
      </c>
      <c r="L24" t="s">
        <v>1417</v>
      </c>
    </row>
    <row r="25" spans="1:12" x14ac:dyDescent="0.2">
      <c r="A25">
        <v>24</v>
      </c>
      <c r="B25" t="s">
        <v>666</v>
      </c>
      <c r="C25" t="s">
        <v>816</v>
      </c>
      <c r="D25" s="1">
        <v>8</v>
      </c>
      <c r="E25">
        <v>5.5</v>
      </c>
      <c r="F25" t="s">
        <v>47</v>
      </c>
      <c r="G25">
        <v>2015</v>
      </c>
      <c r="H25" t="s">
        <v>323</v>
      </c>
      <c r="I25" t="s">
        <v>1410</v>
      </c>
      <c r="J25">
        <f t="shared" si="0"/>
        <v>2.5</v>
      </c>
      <c r="K25">
        <f t="shared" si="1"/>
        <v>2.5</v>
      </c>
      <c r="L25" t="s">
        <v>1418</v>
      </c>
    </row>
    <row r="26" spans="1:12" x14ac:dyDescent="0.2">
      <c r="A26">
        <v>25</v>
      </c>
      <c r="B26" t="s">
        <v>667</v>
      </c>
      <c r="C26" t="s">
        <v>10</v>
      </c>
      <c r="D26" s="1">
        <v>4</v>
      </c>
      <c r="E26">
        <v>4.5</v>
      </c>
      <c r="F26" t="s">
        <v>47</v>
      </c>
      <c r="G26">
        <v>1995</v>
      </c>
      <c r="H26" t="s">
        <v>240</v>
      </c>
      <c r="I26" t="s">
        <v>1387</v>
      </c>
      <c r="J26">
        <f t="shared" si="0"/>
        <v>-0.5</v>
      </c>
      <c r="K26">
        <f t="shared" si="1"/>
        <v>0.5</v>
      </c>
      <c r="L26" t="s">
        <v>1419</v>
      </c>
    </row>
    <row r="27" spans="1:12" x14ac:dyDescent="0.2">
      <c r="A27">
        <v>26</v>
      </c>
      <c r="B27" t="s">
        <v>668</v>
      </c>
      <c r="C27" t="s">
        <v>816</v>
      </c>
      <c r="D27" s="1">
        <v>8</v>
      </c>
      <c r="E27">
        <v>10</v>
      </c>
      <c r="F27" t="s">
        <v>814</v>
      </c>
      <c r="G27">
        <v>2010</v>
      </c>
      <c r="H27" t="s">
        <v>212</v>
      </c>
      <c r="I27" t="s">
        <v>1420</v>
      </c>
      <c r="J27">
        <f t="shared" si="0"/>
        <v>-2</v>
      </c>
      <c r="K27">
        <f t="shared" si="1"/>
        <v>2</v>
      </c>
      <c r="L27" t="s">
        <v>1421</v>
      </c>
    </row>
    <row r="28" spans="1:12" x14ac:dyDescent="0.2">
      <c r="A28">
        <v>27</v>
      </c>
      <c r="B28" t="s">
        <v>669</v>
      </c>
      <c r="C28" t="s">
        <v>10</v>
      </c>
      <c r="D28" s="1">
        <v>4</v>
      </c>
      <c r="E28">
        <v>5</v>
      </c>
      <c r="F28" t="s">
        <v>814</v>
      </c>
      <c r="G28">
        <v>2010</v>
      </c>
      <c r="H28" t="s">
        <v>224</v>
      </c>
      <c r="I28" t="s">
        <v>1392</v>
      </c>
      <c r="J28">
        <f t="shared" si="0"/>
        <v>-1</v>
      </c>
      <c r="K28">
        <f t="shared" si="1"/>
        <v>1</v>
      </c>
      <c r="L28" t="s">
        <v>1422</v>
      </c>
    </row>
    <row r="29" spans="1:12" x14ac:dyDescent="0.2">
      <c r="A29">
        <v>28</v>
      </c>
      <c r="B29" t="s">
        <v>670</v>
      </c>
      <c r="C29" t="s">
        <v>815</v>
      </c>
      <c r="D29" s="1">
        <v>15</v>
      </c>
      <c r="E29">
        <v>7</v>
      </c>
      <c r="F29" t="s">
        <v>32</v>
      </c>
      <c r="G29">
        <v>1931</v>
      </c>
      <c r="H29" t="s">
        <v>127</v>
      </c>
      <c r="I29" t="s">
        <v>1407</v>
      </c>
      <c r="J29">
        <f t="shared" si="0"/>
        <v>8</v>
      </c>
      <c r="K29">
        <f t="shared" si="1"/>
        <v>8</v>
      </c>
      <c r="L29" t="s">
        <v>1423</v>
      </c>
    </row>
    <row r="30" spans="1:12" x14ac:dyDescent="0.2">
      <c r="A30">
        <v>29</v>
      </c>
      <c r="B30" t="s">
        <v>671</v>
      </c>
      <c r="C30" t="s">
        <v>816</v>
      </c>
      <c r="D30" s="1">
        <v>8</v>
      </c>
      <c r="E30">
        <v>3.5</v>
      </c>
      <c r="F30" t="s">
        <v>32</v>
      </c>
      <c r="G30">
        <v>1937</v>
      </c>
      <c r="H30" t="s">
        <v>461</v>
      </c>
      <c r="I30" t="s">
        <v>1385</v>
      </c>
      <c r="J30">
        <f t="shared" si="0"/>
        <v>4.5</v>
      </c>
      <c r="K30">
        <f t="shared" si="1"/>
        <v>4.5</v>
      </c>
      <c r="L30" t="s">
        <v>1424</v>
      </c>
    </row>
    <row r="31" spans="1:12" x14ac:dyDescent="0.2">
      <c r="A31">
        <v>30</v>
      </c>
      <c r="B31" t="s">
        <v>672</v>
      </c>
      <c r="C31" t="s">
        <v>815</v>
      </c>
      <c r="D31" s="1">
        <v>15</v>
      </c>
      <c r="E31">
        <v>7</v>
      </c>
      <c r="F31" t="s">
        <v>32</v>
      </c>
      <c r="G31">
        <v>1939</v>
      </c>
      <c r="H31" t="s">
        <v>127</v>
      </c>
      <c r="I31" t="s">
        <v>1407</v>
      </c>
      <c r="J31">
        <f t="shared" si="0"/>
        <v>8</v>
      </c>
      <c r="K31">
        <f t="shared" si="1"/>
        <v>8</v>
      </c>
      <c r="L31" t="s">
        <v>1425</v>
      </c>
    </row>
    <row r="32" spans="1:12" x14ac:dyDescent="0.2">
      <c r="A32">
        <v>31</v>
      </c>
      <c r="B32" t="s">
        <v>673</v>
      </c>
      <c r="C32" t="s">
        <v>10</v>
      </c>
      <c r="D32" s="1">
        <v>4</v>
      </c>
      <c r="E32">
        <v>4.5</v>
      </c>
      <c r="F32" t="s">
        <v>32</v>
      </c>
      <c r="G32">
        <v>1949</v>
      </c>
      <c r="H32" t="s">
        <v>204</v>
      </c>
      <c r="I32" t="s">
        <v>1387</v>
      </c>
      <c r="J32">
        <f t="shared" si="0"/>
        <v>-0.5</v>
      </c>
      <c r="K32">
        <f t="shared" si="1"/>
        <v>0.5</v>
      </c>
      <c r="L32" t="s">
        <v>1426</v>
      </c>
    </row>
    <row r="33" spans="1:12" x14ac:dyDescent="0.2">
      <c r="A33">
        <v>32</v>
      </c>
      <c r="B33" t="s">
        <v>674</v>
      </c>
      <c r="C33" t="s">
        <v>22</v>
      </c>
      <c r="D33" s="1">
        <v>1.5</v>
      </c>
      <c r="E33">
        <v>3.5</v>
      </c>
      <c r="F33" t="s">
        <v>32</v>
      </c>
      <c r="G33">
        <v>1953</v>
      </c>
      <c r="H33" t="s">
        <v>240</v>
      </c>
      <c r="I33" t="s">
        <v>1385</v>
      </c>
      <c r="J33">
        <f t="shared" si="0"/>
        <v>-2</v>
      </c>
      <c r="K33">
        <f t="shared" si="1"/>
        <v>2</v>
      </c>
      <c r="L33" t="s">
        <v>1427</v>
      </c>
    </row>
    <row r="34" spans="1:12" x14ac:dyDescent="0.2">
      <c r="A34">
        <v>33</v>
      </c>
      <c r="B34" t="s">
        <v>675</v>
      </c>
      <c r="C34" t="s">
        <v>22</v>
      </c>
      <c r="D34" s="1">
        <v>1.5</v>
      </c>
      <c r="E34">
        <v>4.5</v>
      </c>
      <c r="F34" t="s">
        <v>814</v>
      </c>
      <c r="G34">
        <v>1953</v>
      </c>
      <c r="H34" t="s">
        <v>325</v>
      </c>
      <c r="I34" t="s">
        <v>1387</v>
      </c>
      <c r="J34">
        <f t="shared" ref="J34:J65" si="2">SUM(D34-E34)</f>
        <v>-3</v>
      </c>
      <c r="K34">
        <f t="shared" ref="K34:K65" si="3">ABS(J34)</f>
        <v>3</v>
      </c>
      <c r="L34" t="s">
        <v>1428</v>
      </c>
    </row>
    <row r="35" spans="1:12" x14ac:dyDescent="0.2">
      <c r="A35">
        <v>34</v>
      </c>
      <c r="B35" t="s">
        <v>677</v>
      </c>
      <c r="C35" t="s">
        <v>22</v>
      </c>
      <c r="D35" s="1">
        <v>1.5</v>
      </c>
      <c r="E35">
        <v>5.5</v>
      </c>
      <c r="F35" t="s">
        <v>32</v>
      </c>
      <c r="G35">
        <v>1954</v>
      </c>
      <c r="H35" t="s">
        <v>1169</v>
      </c>
      <c r="I35" t="s">
        <v>1410</v>
      </c>
      <c r="J35">
        <f t="shared" si="2"/>
        <v>-4</v>
      </c>
      <c r="K35">
        <f t="shared" si="3"/>
        <v>4</v>
      </c>
      <c r="L35" t="s">
        <v>1429</v>
      </c>
    </row>
    <row r="36" spans="1:12" x14ac:dyDescent="0.2">
      <c r="A36">
        <v>35</v>
      </c>
      <c r="B36" t="s">
        <v>679</v>
      </c>
      <c r="C36" t="s">
        <v>22</v>
      </c>
      <c r="D36" s="1">
        <v>1.5</v>
      </c>
      <c r="E36">
        <v>4.5</v>
      </c>
      <c r="F36" t="s">
        <v>32</v>
      </c>
      <c r="G36">
        <v>1962</v>
      </c>
      <c r="H36" t="s">
        <v>403</v>
      </c>
      <c r="I36" t="s">
        <v>1387</v>
      </c>
      <c r="J36">
        <f t="shared" si="2"/>
        <v>-3</v>
      </c>
      <c r="K36">
        <f t="shared" si="3"/>
        <v>3</v>
      </c>
      <c r="L36" t="s">
        <v>1430</v>
      </c>
    </row>
    <row r="37" spans="1:12" x14ac:dyDescent="0.2">
      <c r="A37">
        <v>36</v>
      </c>
      <c r="B37" t="s">
        <v>680</v>
      </c>
      <c r="C37" t="s">
        <v>633</v>
      </c>
      <c r="D37" s="1">
        <v>6</v>
      </c>
      <c r="E37">
        <v>6.5</v>
      </c>
      <c r="F37" t="s">
        <v>814</v>
      </c>
      <c r="G37">
        <v>1963</v>
      </c>
      <c r="H37" t="s">
        <v>236</v>
      </c>
      <c r="I37" t="s">
        <v>1401</v>
      </c>
      <c r="J37">
        <f t="shared" si="2"/>
        <v>-0.5</v>
      </c>
      <c r="K37">
        <f t="shared" si="3"/>
        <v>0.5</v>
      </c>
      <c r="L37" t="s">
        <v>1431</v>
      </c>
    </row>
    <row r="38" spans="1:12" x14ac:dyDescent="0.2">
      <c r="A38">
        <v>37</v>
      </c>
      <c r="B38" t="s">
        <v>681</v>
      </c>
      <c r="C38" t="s">
        <v>22</v>
      </c>
      <c r="D38" s="1">
        <v>1.5</v>
      </c>
      <c r="E38">
        <v>4.5</v>
      </c>
      <c r="F38" t="s">
        <v>32</v>
      </c>
      <c r="G38">
        <v>1966</v>
      </c>
      <c r="H38" t="s">
        <v>242</v>
      </c>
      <c r="I38" t="s">
        <v>1387</v>
      </c>
      <c r="J38">
        <f t="shared" si="2"/>
        <v>-3</v>
      </c>
      <c r="K38">
        <f t="shared" si="3"/>
        <v>3</v>
      </c>
      <c r="L38" t="s">
        <v>1432</v>
      </c>
    </row>
    <row r="39" spans="1:12" x14ac:dyDescent="0.2">
      <c r="A39">
        <v>38</v>
      </c>
      <c r="B39" t="s">
        <v>682</v>
      </c>
      <c r="C39" t="s">
        <v>845</v>
      </c>
      <c r="D39" s="1">
        <v>1</v>
      </c>
      <c r="E39">
        <v>4.5</v>
      </c>
      <c r="F39" t="s">
        <v>32</v>
      </c>
      <c r="G39">
        <v>1967</v>
      </c>
      <c r="H39" t="s">
        <v>359</v>
      </c>
      <c r="I39" t="s">
        <v>1387</v>
      </c>
      <c r="J39">
        <f t="shared" si="2"/>
        <v>-3.5</v>
      </c>
      <c r="K39">
        <f t="shared" si="3"/>
        <v>3.5</v>
      </c>
      <c r="L39" t="s">
        <v>1433</v>
      </c>
    </row>
    <row r="40" spans="1:12" x14ac:dyDescent="0.2">
      <c r="A40">
        <v>39</v>
      </c>
      <c r="B40" t="s">
        <v>869</v>
      </c>
      <c r="C40" t="s">
        <v>845</v>
      </c>
      <c r="D40" s="1">
        <v>1</v>
      </c>
      <c r="E40">
        <v>5.5</v>
      </c>
      <c r="F40" t="s">
        <v>32</v>
      </c>
      <c r="G40">
        <v>1972</v>
      </c>
      <c r="H40" t="s">
        <v>1434</v>
      </c>
      <c r="I40" t="s">
        <v>1410</v>
      </c>
      <c r="J40">
        <f t="shared" si="2"/>
        <v>-4.5</v>
      </c>
      <c r="K40">
        <f t="shared" si="3"/>
        <v>4.5</v>
      </c>
      <c r="L40" t="s">
        <v>1491</v>
      </c>
    </row>
    <row r="41" spans="1:12" x14ac:dyDescent="0.2">
      <c r="A41">
        <v>40</v>
      </c>
      <c r="B41" t="s">
        <v>683</v>
      </c>
      <c r="C41" t="s">
        <v>845</v>
      </c>
      <c r="D41" s="1">
        <v>1</v>
      </c>
      <c r="E41">
        <v>6.5</v>
      </c>
      <c r="F41" t="s">
        <v>32</v>
      </c>
      <c r="G41">
        <v>1974</v>
      </c>
      <c r="H41" t="s">
        <v>74</v>
      </c>
      <c r="I41" t="s">
        <v>1401</v>
      </c>
      <c r="J41">
        <f t="shared" si="2"/>
        <v>-5.5</v>
      </c>
      <c r="K41">
        <f t="shared" si="3"/>
        <v>5.5</v>
      </c>
      <c r="L41" t="s">
        <v>1435</v>
      </c>
    </row>
    <row r="42" spans="1:12" x14ac:dyDescent="0.2">
      <c r="A42">
        <v>41</v>
      </c>
      <c r="B42" t="s">
        <v>684</v>
      </c>
      <c r="C42" t="s">
        <v>10</v>
      </c>
      <c r="D42" s="1">
        <v>4</v>
      </c>
      <c r="E42">
        <v>4.5</v>
      </c>
      <c r="F42" t="s">
        <v>32</v>
      </c>
      <c r="G42">
        <v>1988</v>
      </c>
      <c r="H42" t="s">
        <v>97</v>
      </c>
      <c r="I42" t="s">
        <v>1387</v>
      </c>
      <c r="J42">
        <f t="shared" si="2"/>
        <v>-0.5</v>
      </c>
      <c r="K42">
        <f t="shared" si="3"/>
        <v>0.5</v>
      </c>
      <c r="L42" t="s">
        <v>1436</v>
      </c>
    </row>
    <row r="43" spans="1:12" x14ac:dyDescent="0.2">
      <c r="A43">
        <v>42</v>
      </c>
      <c r="B43" t="s">
        <v>685</v>
      </c>
      <c r="C43" t="s">
        <v>22</v>
      </c>
      <c r="D43" s="1">
        <v>1.5</v>
      </c>
      <c r="E43">
        <v>5.5</v>
      </c>
      <c r="F43" t="s">
        <v>32</v>
      </c>
      <c r="G43">
        <v>1991</v>
      </c>
      <c r="H43" t="s">
        <v>285</v>
      </c>
      <c r="I43" t="s">
        <v>1410</v>
      </c>
      <c r="J43">
        <f t="shared" si="2"/>
        <v>-4</v>
      </c>
      <c r="K43">
        <f t="shared" si="3"/>
        <v>4</v>
      </c>
      <c r="L43" t="s">
        <v>1437</v>
      </c>
    </row>
    <row r="44" spans="1:12" x14ac:dyDescent="0.2">
      <c r="A44">
        <v>43</v>
      </c>
      <c r="B44" t="s">
        <v>686</v>
      </c>
      <c r="C44" t="s">
        <v>10</v>
      </c>
      <c r="D44" s="1">
        <v>4</v>
      </c>
      <c r="E44">
        <v>3.5</v>
      </c>
      <c r="F44" t="s">
        <v>814</v>
      </c>
      <c r="G44">
        <v>1993</v>
      </c>
      <c r="H44" t="s">
        <v>461</v>
      </c>
      <c r="I44" t="s">
        <v>1385</v>
      </c>
      <c r="J44">
        <f t="shared" si="2"/>
        <v>0.5</v>
      </c>
      <c r="K44">
        <f t="shared" si="3"/>
        <v>0.5</v>
      </c>
      <c r="L44" t="s">
        <v>1438</v>
      </c>
    </row>
    <row r="45" spans="1:12" x14ac:dyDescent="0.2">
      <c r="A45">
        <v>44</v>
      </c>
      <c r="B45" t="s">
        <v>875</v>
      </c>
      <c r="C45" t="s">
        <v>816</v>
      </c>
      <c r="D45" s="1">
        <v>8</v>
      </c>
      <c r="E45">
        <v>7</v>
      </c>
      <c r="F45" t="s">
        <v>32</v>
      </c>
      <c r="G45">
        <v>1995</v>
      </c>
      <c r="H45" t="s">
        <v>1434</v>
      </c>
      <c r="I45" t="s">
        <v>1407</v>
      </c>
      <c r="J45">
        <f t="shared" si="2"/>
        <v>1</v>
      </c>
      <c r="K45">
        <f t="shared" si="3"/>
        <v>1</v>
      </c>
      <c r="L45" t="s">
        <v>1492</v>
      </c>
    </row>
    <row r="46" spans="1:12" x14ac:dyDescent="0.2">
      <c r="A46">
        <v>45</v>
      </c>
      <c r="B46" t="s">
        <v>687</v>
      </c>
      <c r="C46" t="s">
        <v>815</v>
      </c>
      <c r="D46" s="1">
        <v>15</v>
      </c>
      <c r="E46">
        <v>5</v>
      </c>
      <c r="F46" t="s">
        <v>32</v>
      </c>
      <c r="G46">
        <v>1999</v>
      </c>
      <c r="H46" t="s">
        <v>1189</v>
      </c>
      <c r="I46" t="s">
        <v>1392</v>
      </c>
      <c r="J46">
        <f t="shared" si="2"/>
        <v>10</v>
      </c>
      <c r="K46">
        <f t="shared" si="3"/>
        <v>10</v>
      </c>
      <c r="L46" t="s">
        <v>1439</v>
      </c>
    </row>
    <row r="47" spans="1:12" x14ac:dyDescent="0.2">
      <c r="A47">
        <v>46</v>
      </c>
      <c r="B47" t="s">
        <v>688</v>
      </c>
      <c r="C47" t="s">
        <v>10</v>
      </c>
      <c r="D47" s="1">
        <v>4</v>
      </c>
      <c r="E47">
        <v>3.5</v>
      </c>
      <c r="F47" t="s">
        <v>814</v>
      </c>
      <c r="G47">
        <v>2010</v>
      </c>
      <c r="H47" t="s">
        <v>62</v>
      </c>
      <c r="I47" t="s">
        <v>1385</v>
      </c>
      <c r="J47">
        <f t="shared" si="2"/>
        <v>0.5</v>
      </c>
      <c r="K47">
        <f t="shared" si="3"/>
        <v>0.5</v>
      </c>
      <c r="L47" t="s">
        <v>1440</v>
      </c>
    </row>
    <row r="48" spans="1:12" x14ac:dyDescent="0.2">
      <c r="A48">
        <v>47</v>
      </c>
      <c r="B48" t="s">
        <v>689</v>
      </c>
      <c r="C48" t="s">
        <v>22</v>
      </c>
      <c r="D48" s="1">
        <v>1.5</v>
      </c>
      <c r="E48">
        <v>3.5</v>
      </c>
      <c r="F48" t="s">
        <v>32</v>
      </c>
      <c r="G48">
        <v>2010</v>
      </c>
      <c r="H48" t="s">
        <v>357</v>
      </c>
      <c r="I48" t="s">
        <v>1385</v>
      </c>
      <c r="J48">
        <f t="shared" si="2"/>
        <v>-2</v>
      </c>
      <c r="K48">
        <f t="shared" si="3"/>
        <v>2</v>
      </c>
      <c r="L48" t="s">
        <v>1441</v>
      </c>
    </row>
    <row r="49" spans="1:12" x14ac:dyDescent="0.2">
      <c r="A49">
        <v>48</v>
      </c>
      <c r="B49" t="s">
        <v>690</v>
      </c>
      <c r="C49" t="s">
        <v>22</v>
      </c>
      <c r="D49" s="1">
        <v>1.5</v>
      </c>
      <c r="E49">
        <v>4.5</v>
      </c>
      <c r="F49" t="s">
        <v>32</v>
      </c>
      <c r="G49">
        <v>2011</v>
      </c>
      <c r="H49" t="s">
        <v>97</v>
      </c>
      <c r="I49" t="s">
        <v>1387</v>
      </c>
      <c r="J49">
        <f t="shared" si="2"/>
        <v>-3</v>
      </c>
      <c r="K49">
        <f t="shared" si="3"/>
        <v>3</v>
      </c>
      <c r="L49" t="s">
        <v>1442</v>
      </c>
    </row>
    <row r="50" spans="1:12" x14ac:dyDescent="0.2">
      <c r="A50">
        <v>49</v>
      </c>
      <c r="B50" t="s">
        <v>691</v>
      </c>
      <c r="C50" t="s">
        <v>22</v>
      </c>
      <c r="D50" s="1">
        <v>1.5</v>
      </c>
      <c r="E50">
        <v>4.5</v>
      </c>
      <c r="F50" t="s">
        <v>32</v>
      </c>
      <c r="G50">
        <v>2011</v>
      </c>
      <c r="H50" t="s">
        <v>433</v>
      </c>
      <c r="I50" t="s">
        <v>1387</v>
      </c>
      <c r="J50">
        <f t="shared" si="2"/>
        <v>-3</v>
      </c>
      <c r="K50">
        <f t="shared" si="3"/>
        <v>3</v>
      </c>
      <c r="L50" t="s">
        <v>1443</v>
      </c>
    </row>
    <row r="51" spans="1:12" x14ac:dyDescent="0.2">
      <c r="A51">
        <v>50</v>
      </c>
      <c r="B51" t="s">
        <v>692</v>
      </c>
      <c r="C51" t="s">
        <v>10</v>
      </c>
      <c r="D51" s="1">
        <v>4</v>
      </c>
      <c r="E51">
        <v>4.5</v>
      </c>
      <c r="F51" t="s">
        <v>32</v>
      </c>
      <c r="G51">
        <v>2013</v>
      </c>
      <c r="H51" t="s">
        <v>222</v>
      </c>
      <c r="I51" t="s">
        <v>1387</v>
      </c>
      <c r="J51">
        <f t="shared" si="2"/>
        <v>-0.5</v>
      </c>
      <c r="K51">
        <f t="shared" si="3"/>
        <v>0.5</v>
      </c>
      <c r="L51" t="s">
        <v>1444</v>
      </c>
    </row>
    <row r="52" spans="1:12" x14ac:dyDescent="0.2">
      <c r="A52">
        <v>51</v>
      </c>
      <c r="B52" t="s">
        <v>693</v>
      </c>
      <c r="C52" t="s">
        <v>21</v>
      </c>
      <c r="E52">
        <v>4.5</v>
      </c>
      <c r="F52" t="s">
        <v>814</v>
      </c>
      <c r="G52">
        <v>2013</v>
      </c>
      <c r="H52" t="s">
        <v>355</v>
      </c>
      <c r="I52" t="s">
        <v>1387</v>
      </c>
      <c r="J52">
        <f t="shared" si="2"/>
        <v>-4.5</v>
      </c>
      <c r="K52">
        <f t="shared" si="3"/>
        <v>4.5</v>
      </c>
      <c r="L52" t="s">
        <v>1445</v>
      </c>
    </row>
    <row r="53" spans="1:12" x14ac:dyDescent="0.2">
      <c r="A53">
        <v>52</v>
      </c>
      <c r="B53" t="s">
        <v>694</v>
      </c>
      <c r="C53" t="s">
        <v>22</v>
      </c>
      <c r="D53" s="1">
        <v>1.5</v>
      </c>
      <c r="E53">
        <v>5.5</v>
      </c>
      <c r="F53" t="s">
        <v>32</v>
      </c>
      <c r="G53">
        <v>1937</v>
      </c>
      <c r="H53" t="s">
        <v>127</v>
      </c>
      <c r="I53" t="s">
        <v>1410</v>
      </c>
      <c r="J53">
        <f t="shared" si="2"/>
        <v>-4</v>
      </c>
      <c r="K53">
        <f t="shared" si="3"/>
        <v>4</v>
      </c>
      <c r="L53" t="s">
        <v>1446</v>
      </c>
    </row>
    <row r="54" spans="1:12" x14ac:dyDescent="0.2">
      <c r="A54">
        <v>53</v>
      </c>
      <c r="B54" t="s">
        <v>695</v>
      </c>
      <c r="C54" t="s">
        <v>845</v>
      </c>
      <c r="D54" s="1">
        <v>1</v>
      </c>
      <c r="E54">
        <v>4.5</v>
      </c>
      <c r="F54" t="s">
        <v>32</v>
      </c>
      <c r="G54">
        <v>1943</v>
      </c>
      <c r="H54" t="s">
        <v>222</v>
      </c>
      <c r="I54" t="s">
        <v>1387</v>
      </c>
      <c r="J54">
        <f t="shared" si="2"/>
        <v>-3.5</v>
      </c>
      <c r="K54">
        <f t="shared" si="3"/>
        <v>3.5</v>
      </c>
      <c r="L54" t="s">
        <v>1447</v>
      </c>
    </row>
    <row r="55" spans="1:12" x14ac:dyDescent="0.2">
      <c r="A55">
        <v>54</v>
      </c>
      <c r="B55" t="s">
        <v>696</v>
      </c>
      <c r="C55" t="s">
        <v>22</v>
      </c>
      <c r="D55" s="1">
        <v>1.5</v>
      </c>
      <c r="E55">
        <v>3.5</v>
      </c>
      <c r="F55" t="s">
        <v>32</v>
      </c>
      <c r="G55">
        <v>1985</v>
      </c>
      <c r="H55" t="s">
        <v>471</v>
      </c>
      <c r="I55" t="s">
        <v>1385</v>
      </c>
      <c r="J55">
        <f t="shared" si="2"/>
        <v>-2</v>
      </c>
      <c r="K55">
        <f t="shared" si="3"/>
        <v>2</v>
      </c>
      <c r="L55" t="s">
        <v>1448</v>
      </c>
    </row>
    <row r="56" spans="1:12" x14ac:dyDescent="0.2">
      <c r="A56">
        <v>55</v>
      </c>
      <c r="B56" t="s">
        <v>697</v>
      </c>
      <c r="C56" t="s">
        <v>10</v>
      </c>
      <c r="D56" s="1">
        <v>4</v>
      </c>
      <c r="E56">
        <v>5.5</v>
      </c>
      <c r="F56" t="s">
        <v>32</v>
      </c>
      <c r="G56">
        <v>1975</v>
      </c>
      <c r="H56" t="s">
        <v>127</v>
      </c>
      <c r="I56" t="s">
        <v>1410</v>
      </c>
      <c r="J56">
        <f t="shared" si="2"/>
        <v>-1.5</v>
      </c>
      <c r="K56">
        <f t="shared" si="3"/>
        <v>1.5</v>
      </c>
      <c r="L56" t="s">
        <v>1449</v>
      </c>
    </row>
    <row r="57" spans="1:12" x14ac:dyDescent="0.2">
      <c r="A57">
        <v>56</v>
      </c>
      <c r="B57" t="s">
        <v>698</v>
      </c>
      <c r="C57" t="s">
        <v>22</v>
      </c>
      <c r="D57" s="1">
        <v>1.5</v>
      </c>
      <c r="E57">
        <v>4.5</v>
      </c>
      <c r="F57" t="s">
        <v>32</v>
      </c>
      <c r="G57">
        <v>1977</v>
      </c>
      <c r="H57" t="s">
        <v>222</v>
      </c>
      <c r="I57" t="s">
        <v>1387</v>
      </c>
      <c r="J57">
        <f t="shared" si="2"/>
        <v>-3</v>
      </c>
      <c r="K57">
        <f t="shared" si="3"/>
        <v>3</v>
      </c>
      <c r="L57" t="s">
        <v>1450</v>
      </c>
    </row>
    <row r="58" spans="1:12" x14ac:dyDescent="0.2">
      <c r="A58">
        <v>57</v>
      </c>
      <c r="B58" t="s">
        <v>699</v>
      </c>
      <c r="C58" t="s">
        <v>10</v>
      </c>
      <c r="D58" s="1">
        <v>4</v>
      </c>
      <c r="E58">
        <v>4.5</v>
      </c>
      <c r="F58" t="s">
        <v>32</v>
      </c>
      <c r="G58">
        <v>1989</v>
      </c>
      <c r="H58" t="s">
        <v>461</v>
      </c>
      <c r="I58" t="s">
        <v>1387</v>
      </c>
      <c r="J58">
        <f t="shared" si="2"/>
        <v>-0.5</v>
      </c>
      <c r="K58">
        <f t="shared" si="3"/>
        <v>0.5</v>
      </c>
      <c r="L58" t="s">
        <v>1451</v>
      </c>
    </row>
    <row r="59" spans="1:12" x14ac:dyDescent="0.2">
      <c r="A59">
        <v>58</v>
      </c>
      <c r="B59" t="s">
        <v>700</v>
      </c>
      <c r="C59" t="s">
        <v>22</v>
      </c>
      <c r="D59" s="1">
        <v>1.5</v>
      </c>
      <c r="E59">
        <v>3.5</v>
      </c>
      <c r="F59" t="s">
        <v>32</v>
      </c>
      <c r="G59">
        <v>1990</v>
      </c>
      <c r="H59" t="s">
        <v>459</v>
      </c>
      <c r="I59" t="s">
        <v>1385</v>
      </c>
      <c r="J59">
        <f t="shared" si="2"/>
        <v>-2</v>
      </c>
      <c r="K59">
        <f t="shared" si="3"/>
        <v>2</v>
      </c>
      <c r="L59" t="s">
        <v>1452</v>
      </c>
    </row>
    <row r="60" spans="1:12" x14ac:dyDescent="0.2">
      <c r="A60">
        <v>59</v>
      </c>
      <c r="B60" t="s">
        <v>701</v>
      </c>
      <c r="C60" t="s">
        <v>22</v>
      </c>
      <c r="D60" s="1">
        <v>1.5</v>
      </c>
      <c r="E60">
        <v>3.5</v>
      </c>
      <c r="F60" t="s">
        <v>32</v>
      </c>
      <c r="G60">
        <v>1991</v>
      </c>
      <c r="H60" t="s">
        <v>240</v>
      </c>
      <c r="I60" t="s">
        <v>1385</v>
      </c>
      <c r="J60">
        <f t="shared" si="2"/>
        <v>-2</v>
      </c>
      <c r="K60">
        <f t="shared" si="3"/>
        <v>2</v>
      </c>
      <c r="L60" t="s">
        <v>1453</v>
      </c>
    </row>
    <row r="61" spans="1:12" x14ac:dyDescent="0.2">
      <c r="A61">
        <v>60</v>
      </c>
      <c r="B61" t="s">
        <v>702</v>
      </c>
      <c r="C61" t="s">
        <v>845</v>
      </c>
      <c r="D61" s="1">
        <v>1</v>
      </c>
      <c r="E61">
        <v>5.5</v>
      </c>
      <c r="F61" t="s">
        <v>32</v>
      </c>
      <c r="G61">
        <v>1991</v>
      </c>
      <c r="H61" t="s">
        <v>74</v>
      </c>
      <c r="I61" t="s">
        <v>1410</v>
      </c>
      <c r="J61">
        <f t="shared" si="2"/>
        <v>-4.5</v>
      </c>
      <c r="K61">
        <f t="shared" si="3"/>
        <v>4.5</v>
      </c>
      <c r="L61" t="s">
        <v>1435</v>
      </c>
    </row>
    <row r="62" spans="1:12" x14ac:dyDescent="0.2">
      <c r="A62">
        <v>61</v>
      </c>
      <c r="B62" t="s">
        <v>703</v>
      </c>
      <c r="C62" t="s">
        <v>22</v>
      </c>
      <c r="D62" s="1">
        <v>1.5</v>
      </c>
      <c r="E62">
        <v>4.5</v>
      </c>
      <c r="F62" t="s">
        <v>32</v>
      </c>
      <c r="G62">
        <v>1992</v>
      </c>
      <c r="H62" t="s">
        <v>461</v>
      </c>
      <c r="I62" t="s">
        <v>1387</v>
      </c>
      <c r="J62">
        <f t="shared" si="2"/>
        <v>-3</v>
      </c>
      <c r="K62">
        <f t="shared" si="3"/>
        <v>3</v>
      </c>
      <c r="L62" t="s">
        <v>1454</v>
      </c>
    </row>
    <row r="63" spans="1:12" x14ac:dyDescent="0.2">
      <c r="A63">
        <v>62</v>
      </c>
      <c r="B63" t="s">
        <v>704</v>
      </c>
      <c r="C63" t="s">
        <v>845</v>
      </c>
      <c r="D63" s="1">
        <v>1</v>
      </c>
      <c r="E63">
        <v>3.5</v>
      </c>
      <c r="F63" t="s">
        <v>32</v>
      </c>
      <c r="G63">
        <v>1993</v>
      </c>
      <c r="H63" t="s">
        <v>1189</v>
      </c>
      <c r="I63" t="s">
        <v>1385</v>
      </c>
      <c r="J63">
        <f t="shared" si="2"/>
        <v>-2.5</v>
      </c>
      <c r="K63">
        <f t="shared" si="3"/>
        <v>2.5</v>
      </c>
      <c r="L63" t="s">
        <v>1455</v>
      </c>
    </row>
    <row r="64" spans="1:12" x14ac:dyDescent="0.2">
      <c r="A64">
        <v>63</v>
      </c>
      <c r="B64" t="s">
        <v>705</v>
      </c>
      <c r="C64" t="s">
        <v>845</v>
      </c>
      <c r="D64" s="1">
        <v>1</v>
      </c>
      <c r="E64">
        <v>3.5</v>
      </c>
      <c r="F64" t="s">
        <v>32</v>
      </c>
      <c r="G64">
        <v>1999</v>
      </c>
      <c r="H64" t="s">
        <v>180</v>
      </c>
      <c r="I64" t="s">
        <v>1385</v>
      </c>
      <c r="J64">
        <f t="shared" si="2"/>
        <v>-2.5</v>
      </c>
      <c r="K64">
        <f t="shared" si="3"/>
        <v>2.5</v>
      </c>
      <c r="L64" t="s">
        <v>1456</v>
      </c>
    </row>
    <row r="65" spans="1:12" x14ac:dyDescent="0.2">
      <c r="A65">
        <v>64</v>
      </c>
      <c r="B65" t="s">
        <v>706</v>
      </c>
      <c r="C65" t="s">
        <v>845</v>
      </c>
      <c r="D65" s="1">
        <v>1</v>
      </c>
      <c r="E65">
        <v>4.5</v>
      </c>
      <c r="F65" t="s">
        <v>32</v>
      </c>
      <c r="G65">
        <v>1999</v>
      </c>
      <c r="H65" t="s">
        <v>461</v>
      </c>
      <c r="I65" t="s">
        <v>1387</v>
      </c>
      <c r="J65">
        <f t="shared" si="2"/>
        <v>-3.5</v>
      </c>
      <c r="K65">
        <f t="shared" si="3"/>
        <v>3.5</v>
      </c>
      <c r="L65" t="s">
        <v>1457</v>
      </c>
    </row>
    <row r="66" spans="1:12" x14ac:dyDescent="0.2">
      <c r="A66">
        <v>65</v>
      </c>
      <c r="B66" t="s">
        <v>707</v>
      </c>
      <c r="C66" t="s">
        <v>845</v>
      </c>
      <c r="D66" s="1">
        <v>1</v>
      </c>
      <c r="E66">
        <v>3.5</v>
      </c>
      <c r="F66" t="s">
        <v>32</v>
      </c>
      <c r="G66">
        <v>1999</v>
      </c>
      <c r="H66" t="s">
        <v>240</v>
      </c>
      <c r="I66" t="s">
        <v>1385</v>
      </c>
      <c r="J66">
        <f t="shared" ref="J66:J97" si="4">SUM(D66-E66)</f>
        <v>-2.5</v>
      </c>
      <c r="K66">
        <f t="shared" ref="K66:K97" si="5">ABS(J66)</f>
        <v>2.5</v>
      </c>
      <c r="L66" t="s">
        <v>1458</v>
      </c>
    </row>
    <row r="67" spans="1:12" x14ac:dyDescent="0.2">
      <c r="A67">
        <v>66</v>
      </c>
      <c r="B67" t="s">
        <v>708</v>
      </c>
      <c r="C67" t="s">
        <v>845</v>
      </c>
      <c r="D67" s="1">
        <v>1</v>
      </c>
      <c r="E67">
        <v>3.5</v>
      </c>
      <c r="F67" t="s">
        <v>32</v>
      </c>
      <c r="G67">
        <v>1999</v>
      </c>
      <c r="H67" t="s">
        <v>152</v>
      </c>
      <c r="I67" t="s">
        <v>1385</v>
      </c>
      <c r="J67">
        <f t="shared" si="4"/>
        <v>-2.5</v>
      </c>
      <c r="K67">
        <f t="shared" si="5"/>
        <v>2.5</v>
      </c>
      <c r="L67" t="s">
        <v>1459</v>
      </c>
    </row>
    <row r="68" spans="1:12" x14ac:dyDescent="0.2">
      <c r="A68">
        <v>67</v>
      </c>
      <c r="B68" t="s">
        <v>709</v>
      </c>
      <c r="D68" s="1">
        <v>4</v>
      </c>
      <c r="E68">
        <v>4.5</v>
      </c>
      <c r="G68">
        <v>2000</v>
      </c>
      <c r="H68" t="s">
        <v>1434</v>
      </c>
      <c r="I68" t="s">
        <v>1387</v>
      </c>
      <c r="J68">
        <f t="shared" si="4"/>
        <v>-0.5</v>
      </c>
      <c r="K68">
        <f t="shared" si="5"/>
        <v>0.5</v>
      </c>
      <c r="L68" t="s">
        <v>1493</v>
      </c>
    </row>
    <row r="69" spans="1:12" x14ac:dyDescent="0.2">
      <c r="A69">
        <v>68</v>
      </c>
      <c r="B69" t="s">
        <v>710</v>
      </c>
      <c r="C69" t="s">
        <v>10</v>
      </c>
      <c r="D69" s="1">
        <v>4</v>
      </c>
      <c r="E69">
        <v>7</v>
      </c>
      <c r="F69" t="s">
        <v>32</v>
      </c>
      <c r="G69">
        <v>2004</v>
      </c>
      <c r="H69" t="s">
        <v>212</v>
      </c>
      <c r="I69" t="s">
        <v>1407</v>
      </c>
      <c r="J69">
        <f t="shared" si="4"/>
        <v>-3</v>
      </c>
      <c r="K69">
        <f t="shared" si="5"/>
        <v>3</v>
      </c>
      <c r="L69" t="s">
        <v>1460</v>
      </c>
    </row>
    <row r="70" spans="1:12" x14ac:dyDescent="0.2">
      <c r="A70">
        <v>69</v>
      </c>
      <c r="B70" t="s">
        <v>711</v>
      </c>
      <c r="C70" t="s">
        <v>10</v>
      </c>
      <c r="D70" s="1">
        <v>4</v>
      </c>
      <c r="E70">
        <v>6.5</v>
      </c>
      <c r="F70" t="s">
        <v>32</v>
      </c>
      <c r="G70">
        <v>2008</v>
      </c>
      <c r="H70" t="s">
        <v>317</v>
      </c>
      <c r="I70" t="s">
        <v>1401</v>
      </c>
      <c r="J70">
        <f t="shared" si="4"/>
        <v>-2.5</v>
      </c>
      <c r="K70">
        <f t="shared" si="5"/>
        <v>2.5</v>
      </c>
      <c r="L70" t="s">
        <v>1461</v>
      </c>
    </row>
    <row r="71" spans="1:12" x14ac:dyDescent="0.2">
      <c r="A71">
        <v>70</v>
      </c>
      <c r="B71" t="s">
        <v>712</v>
      </c>
      <c r="C71" t="s">
        <v>22</v>
      </c>
      <c r="D71" s="1">
        <v>1.5</v>
      </c>
      <c r="E71">
        <v>3.5</v>
      </c>
      <c r="F71" t="s">
        <v>32</v>
      </c>
      <c r="G71">
        <v>2009</v>
      </c>
      <c r="H71" t="s">
        <v>403</v>
      </c>
      <c r="I71" t="s">
        <v>1385</v>
      </c>
      <c r="J71">
        <f t="shared" si="4"/>
        <v>-2</v>
      </c>
      <c r="K71">
        <f t="shared" si="5"/>
        <v>2</v>
      </c>
      <c r="L71" t="s">
        <v>1462</v>
      </c>
    </row>
    <row r="72" spans="1:12" x14ac:dyDescent="0.2">
      <c r="A72">
        <v>71</v>
      </c>
      <c r="B72" t="s">
        <v>713</v>
      </c>
      <c r="C72" t="s">
        <v>22</v>
      </c>
      <c r="D72" s="1">
        <v>1.5</v>
      </c>
      <c r="E72">
        <v>4.5</v>
      </c>
      <c r="F72" t="s">
        <v>32</v>
      </c>
      <c r="G72">
        <v>2009</v>
      </c>
      <c r="H72" t="s">
        <v>1188</v>
      </c>
      <c r="I72" t="s">
        <v>1387</v>
      </c>
      <c r="J72">
        <f t="shared" si="4"/>
        <v>-3</v>
      </c>
      <c r="K72">
        <f t="shared" si="5"/>
        <v>3</v>
      </c>
      <c r="L72" t="s">
        <v>1494</v>
      </c>
    </row>
    <row r="73" spans="1:12" x14ac:dyDescent="0.2">
      <c r="A73">
        <v>72</v>
      </c>
      <c r="B73" t="s">
        <v>714</v>
      </c>
      <c r="C73" t="s">
        <v>22</v>
      </c>
      <c r="D73" s="1">
        <v>1.5</v>
      </c>
      <c r="E73">
        <v>2.5</v>
      </c>
      <c r="F73" t="s">
        <v>32</v>
      </c>
      <c r="G73">
        <v>2010</v>
      </c>
      <c r="H73" t="s">
        <v>180</v>
      </c>
      <c r="I73" t="s">
        <v>1395</v>
      </c>
      <c r="J73">
        <f t="shared" si="4"/>
        <v>-1</v>
      </c>
      <c r="K73">
        <f t="shared" si="5"/>
        <v>1</v>
      </c>
      <c r="L73" t="s">
        <v>1463</v>
      </c>
    </row>
    <row r="74" spans="1:12" x14ac:dyDescent="0.2">
      <c r="A74">
        <v>73</v>
      </c>
      <c r="B74" t="s">
        <v>715</v>
      </c>
      <c r="C74" t="s">
        <v>10</v>
      </c>
      <c r="D74" s="1">
        <v>4</v>
      </c>
      <c r="E74">
        <v>7</v>
      </c>
      <c r="F74" t="s">
        <v>32</v>
      </c>
      <c r="G74">
        <v>1906</v>
      </c>
      <c r="H74" t="s">
        <v>160</v>
      </c>
      <c r="I74" t="s">
        <v>1407</v>
      </c>
      <c r="J74">
        <f t="shared" si="4"/>
        <v>-3</v>
      </c>
      <c r="K74">
        <f t="shared" si="5"/>
        <v>3</v>
      </c>
      <c r="L74" t="s">
        <v>1464</v>
      </c>
    </row>
    <row r="75" spans="1:12" x14ac:dyDescent="0.2">
      <c r="A75">
        <v>74</v>
      </c>
      <c r="B75" t="s">
        <v>716</v>
      </c>
      <c r="C75" t="s">
        <v>815</v>
      </c>
      <c r="D75" s="1">
        <v>15</v>
      </c>
      <c r="E75">
        <v>9</v>
      </c>
      <c r="F75" t="s">
        <v>32</v>
      </c>
      <c r="G75">
        <v>1908</v>
      </c>
      <c r="H75" t="s">
        <v>236</v>
      </c>
      <c r="I75" t="s">
        <v>1465</v>
      </c>
      <c r="J75">
        <f t="shared" si="4"/>
        <v>6</v>
      </c>
      <c r="K75">
        <f t="shared" si="5"/>
        <v>6</v>
      </c>
      <c r="L75" t="s">
        <v>1431</v>
      </c>
    </row>
    <row r="76" spans="1:12" x14ac:dyDescent="0.2">
      <c r="A76">
        <v>75</v>
      </c>
      <c r="B76" t="s">
        <v>717</v>
      </c>
      <c r="C76" t="s">
        <v>816</v>
      </c>
      <c r="D76" s="1">
        <v>8</v>
      </c>
      <c r="E76">
        <v>10</v>
      </c>
      <c r="F76" t="s">
        <v>32</v>
      </c>
      <c r="G76">
        <v>1920</v>
      </c>
      <c r="H76" t="s">
        <v>127</v>
      </c>
      <c r="I76" t="s">
        <v>1420</v>
      </c>
      <c r="J76">
        <f t="shared" si="4"/>
        <v>-2</v>
      </c>
      <c r="K76">
        <f t="shared" si="5"/>
        <v>2</v>
      </c>
      <c r="L76" t="s">
        <v>1466</v>
      </c>
    </row>
    <row r="77" spans="1:12" x14ac:dyDescent="0.2">
      <c r="A77">
        <v>76</v>
      </c>
      <c r="B77" t="s">
        <v>718</v>
      </c>
      <c r="C77" t="s">
        <v>816</v>
      </c>
      <c r="D77" s="1">
        <v>8</v>
      </c>
      <c r="E77">
        <v>5.5</v>
      </c>
      <c r="F77" t="s">
        <v>32</v>
      </c>
      <c r="G77">
        <v>1922</v>
      </c>
      <c r="H77" t="s">
        <v>125</v>
      </c>
      <c r="I77" t="s">
        <v>1410</v>
      </c>
      <c r="J77">
        <f t="shared" si="4"/>
        <v>2.5</v>
      </c>
      <c r="K77">
        <f t="shared" si="5"/>
        <v>2.5</v>
      </c>
      <c r="L77" t="s">
        <v>1467</v>
      </c>
    </row>
    <row r="78" spans="1:12" x14ac:dyDescent="0.2">
      <c r="A78">
        <v>77</v>
      </c>
      <c r="B78" t="s">
        <v>719</v>
      </c>
      <c r="C78" t="s">
        <v>816</v>
      </c>
      <c r="D78" s="1">
        <v>8</v>
      </c>
      <c r="E78">
        <v>7</v>
      </c>
      <c r="F78" t="s">
        <v>814</v>
      </c>
      <c r="G78">
        <v>1923</v>
      </c>
      <c r="H78" t="s">
        <v>240</v>
      </c>
      <c r="I78" t="s">
        <v>1407</v>
      </c>
      <c r="J78">
        <f t="shared" si="4"/>
        <v>1</v>
      </c>
      <c r="K78">
        <f t="shared" si="5"/>
        <v>1</v>
      </c>
      <c r="L78" t="s">
        <v>1468</v>
      </c>
    </row>
    <row r="79" spans="1:12" x14ac:dyDescent="0.2">
      <c r="A79">
        <v>78</v>
      </c>
      <c r="B79" t="s">
        <v>720</v>
      </c>
      <c r="C79" t="s">
        <v>816</v>
      </c>
      <c r="D79" s="1">
        <v>8</v>
      </c>
      <c r="E79">
        <v>6.5</v>
      </c>
      <c r="F79" t="s">
        <v>32</v>
      </c>
      <c r="G79">
        <v>1948</v>
      </c>
      <c r="H79" t="s">
        <v>447</v>
      </c>
      <c r="I79" t="s">
        <v>1401</v>
      </c>
      <c r="J79">
        <f t="shared" si="4"/>
        <v>1.5</v>
      </c>
      <c r="K79">
        <f t="shared" si="5"/>
        <v>1.5</v>
      </c>
      <c r="L79" t="s">
        <v>1469</v>
      </c>
    </row>
    <row r="80" spans="1:12" x14ac:dyDescent="0.2">
      <c r="A80">
        <v>79</v>
      </c>
      <c r="B80" t="s">
        <v>721</v>
      </c>
      <c r="C80" t="s">
        <v>816</v>
      </c>
      <c r="D80" s="1">
        <v>8</v>
      </c>
      <c r="E80">
        <v>5.5</v>
      </c>
      <c r="F80" t="s">
        <v>32</v>
      </c>
      <c r="G80">
        <v>1950</v>
      </c>
      <c r="H80" t="s">
        <v>222</v>
      </c>
      <c r="I80" t="s">
        <v>1410</v>
      </c>
      <c r="J80">
        <f t="shared" si="4"/>
        <v>2.5</v>
      </c>
      <c r="K80">
        <f t="shared" si="5"/>
        <v>2.5</v>
      </c>
      <c r="L80" t="s">
        <v>1470</v>
      </c>
    </row>
    <row r="81" spans="1:12" x14ac:dyDescent="0.2">
      <c r="A81">
        <v>80</v>
      </c>
      <c r="B81" t="s">
        <v>722</v>
      </c>
      <c r="C81" t="s">
        <v>633</v>
      </c>
      <c r="D81" s="1">
        <v>5</v>
      </c>
      <c r="E81">
        <v>4.5</v>
      </c>
      <c r="F81" t="s">
        <v>32</v>
      </c>
      <c r="G81">
        <v>1952</v>
      </c>
      <c r="H81" t="s">
        <v>367</v>
      </c>
      <c r="I81" t="s">
        <v>1387</v>
      </c>
      <c r="J81">
        <f t="shared" si="4"/>
        <v>0.5</v>
      </c>
      <c r="K81">
        <f t="shared" si="5"/>
        <v>0.5</v>
      </c>
      <c r="L81" t="s">
        <v>1471</v>
      </c>
    </row>
    <row r="82" spans="1:12" x14ac:dyDescent="0.2">
      <c r="A82">
        <v>81</v>
      </c>
      <c r="B82" t="s">
        <v>723</v>
      </c>
      <c r="C82" t="s">
        <v>816</v>
      </c>
      <c r="D82" s="1">
        <v>8</v>
      </c>
      <c r="E82">
        <v>9</v>
      </c>
      <c r="F82" t="s">
        <v>814</v>
      </c>
      <c r="G82">
        <v>1960</v>
      </c>
      <c r="H82" t="s">
        <v>125</v>
      </c>
      <c r="I82" t="s">
        <v>1465</v>
      </c>
      <c r="J82">
        <f t="shared" si="4"/>
        <v>-1</v>
      </c>
      <c r="K82">
        <f t="shared" si="5"/>
        <v>1</v>
      </c>
      <c r="L82" t="s">
        <v>1472</v>
      </c>
    </row>
    <row r="83" spans="1:12" x14ac:dyDescent="0.2">
      <c r="A83">
        <v>82</v>
      </c>
      <c r="B83" t="s">
        <v>724</v>
      </c>
      <c r="C83" t="s">
        <v>816</v>
      </c>
      <c r="D83" s="1">
        <v>8</v>
      </c>
      <c r="E83">
        <v>3.5</v>
      </c>
      <c r="F83" t="s">
        <v>814</v>
      </c>
      <c r="G83">
        <v>1964</v>
      </c>
      <c r="H83" t="s">
        <v>461</v>
      </c>
      <c r="I83" t="s">
        <v>1385</v>
      </c>
      <c r="J83">
        <f t="shared" si="4"/>
        <v>4.5</v>
      </c>
      <c r="K83">
        <f t="shared" si="5"/>
        <v>4.5</v>
      </c>
      <c r="L83" t="s">
        <v>1473</v>
      </c>
    </row>
    <row r="84" spans="1:12" x14ac:dyDescent="0.2">
      <c r="A84">
        <v>83</v>
      </c>
      <c r="B84" t="s">
        <v>725</v>
      </c>
      <c r="C84" t="s">
        <v>815</v>
      </c>
      <c r="D84" s="1">
        <v>15</v>
      </c>
      <c r="E84">
        <v>7</v>
      </c>
      <c r="F84" t="s">
        <v>814</v>
      </c>
      <c r="G84">
        <v>1970</v>
      </c>
      <c r="H84" t="s">
        <v>353</v>
      </c>
      <c r="I84" t="s">
        <v>1407</v>
      </c>
      <c r="J84">
        <f t="shared" si="4"/>
        <v>8</v>
      </c>
      <c r="K84">
        <f t="shared" si="5"/>
        <v>8</v>
      </c>
      <c r="L84" t="s">
        <v>1474</v>
      </c>
    </row>
    <row r="85" spans="1:12" x14ac:dyDescent="0.2">
      <c r="A85">
        <v>84</v>
      </c>
      <c r="B85" t="s">
        <v>726</v>
      </c>
      <c r="C85" t="s">
        <v>816</v>
      </c>
      <c r="D85" s="1">
        <v>8</v>
      </c>
      <c r="E85">
        <v>10</v>
      </c>
      <c r="F85" t="s">
        <v>32</v>
      </c>
      <c r="G85">
        <v>1976</v>
      </c>
      <c r="H85" t="s">
        <v>127</v>
      </c>
      <c r="I85" t="s">
        <v>1420</v>
      </c>
      <c r="J85">
        <f t="shared" si="4"/>
        <v>-2</v>
      </c>
      <c r="K85">
        <f t="shared" si="5"/>
        <v>2</v>
      </c>
      <c r="L85" t="s">
        <v>1466</v>
      </c>
    </row>
    <row r="86" spans="1:12" x14ac:dyDescent="0.2">
      <c r="A86">
        <v>85</v>
      </c>
      <c r="B86" t="s">
        <v>727</v>
      </c>
      <c r="C86" t="s">
        <v>967</v>
      </c>
      <c r="D86" s="1">
        <v>10</v>
      </c>
      <c r="E86">
        <v>6.5</v>
      </c>
      <c r="F86" t="s">
        <v>814</v>
      </c>
      <c r="G86">
        <v>1980</v>
      </c>
      <c r="H86" t="s">
        <v>236</v>
      </c>
      <c r="I86" t="s">
        <v>1401</v>
      </c>
      <c r="J86">
        <f t="shared" si="4"/>
        <v>3.5</v>
      </c>
      <c r="K86">
        <f t="shared" si="5"/>
        <v>3.5</v>
      </c>
      <c r="L86" t="s">
        <v>1431</v>
      </c>
    </row>
    <row r="87" spans="1:12" x14ac:dyDescent="0.2">
      <c r="A87">
        <v>86</v>
      </c>
      <c r="B87" t="s">
        <v>728</v>
      </c>
      <c r="C87" t="s">
        <v>815</v>
      </c>
      <c r="D87" s="1">
        <v>15</v>
      </c>
      <c r="E87">
        <v>5.5</v>
      </c>
      <c r="F87" t="s">
        <v>814</v>
      </c>
      <c r="G87">
        <v>1988</v>
      </c>
      <c r="H87" t="s">
        <v>58</v>
      </c>
      <c r="I87" t="s">
        <v>1410</v>
      </c>
      <c r="J87">
        <f t="shared" si="4"/>
        <v>9.5</v>
      </c>
      <c r="K87">
        <f t="shared" si="5"/>
        <v>9.5</v>
      </c>
      <c r="L87" t="s">
        <v>1475</v>
      </c>
    </row>
    <row r="88" spans="1:12" x14ac:dyDescent="0.2">
      <c r="A88">
        <v>87</v>
      </c>
      <c r="B88" t="s">
        <v>729</v>
      </c>
      <c r="C88" t="s">
        <v>815</v>
      </c>
      <c r="D88" s="1">
        <v>15</v>
      </c>
      <c r="E88">
        <v>6.5</v>
      </c>
      <c r="F88" t="s">
        <v>47</v>
      </c>
      <c r="G88">
        <v>1990</v>
      </c>
      <c r="H88" t="s">
        <v>1169</v>
      </c>
      <c r="I88" t="s">
        <v>1401</v>
      </c>
      <c r="J88">
        <f t="shared" si="4"/>
        <v>8.5</v>
      </c>
      <c r="K88">
        <f t="shared" si="5"/>
        <v>8.5</v>
      </c>
      <c r="L88" t="s">
        <v>1476</v>
      </c>
    </row>
    <row r="89" spans="1:12" x14ac:dyDescent="0.2">
      <c r="A89">
        <v>88</v>
      </c>
      <c r="B89" t="s">
        <v>730</v>
      </c>
      <c r="C89" t="s">
        <v>10</v>
      </c>
      <c r="D89" s="1">
        <v>4</v>
      </c>
      <c r="E89">
        <v>4.5</v>
      </c>
      <c r="F89" t="s">
        <v>814</v>
      </c>
      <c r="G89">
        <v>1999</v>
      </c>
      <c r="H89" t="s">
        <v>1188</v>
      </c>
      <c r="I89" t="s">
        <v>1387</v>
      </c>
      <c r="J89">
        <f t="shared" si="4"/>
        <v>-0.5</v>
      </c>
      <c r="K89">
        <f t="shared" si="5"/>
        <v>0.5</v>
      </c>
      <c r="L89" t="s">
        <v>1423</v>
      </c>
    </row>
    <row r="90" spans="1:12" x14ac:dyDescent="0.2">
      <c r="A90">
        <v>89</v>
      </c>
      <c r="B90" t="s">
        <v>731</v>
      </c>
      <c r="C90" t="s">
        <v>10</v>
      </c>
      <c r="D90" s="1">
        <v>4</v>
      </c>
      <c r="E90">
        <v>5.5</v>
      </c>
      <c r="F90" t="s">
        <v>32</v>
      </c>
      <c r="G90">
        <v>2003</v>
      </c>
      <c r="H90" t="s">
        <v>38</v>
      </c>
      <c r="I90" t="s">
        <v>1410</v>
      </c>
      <c r="J90">
        <f t="shared" si="4"/>
        <v>-1.5</v>
      </c>
      <c r="K90">
        <f t="shared" si="5"/>
        <v>1.5</v>
      </c>
      <c r="L90" t="s">
        <v>1477</v>
      </c>
    </row>
    <row r="91" spans="1:12" x14ac:dyDescent="0.2">
      <c r="A91">
        <v>90</v>
      </c>
      <c r="B91" t="s">
        <v>732</v>
      </c>
      <c r="C91" t="s">
        <v>10</v>
      </c>
      <c r="D91" s="1">
        <v>4</v>
      </c>
      <c r="E91">
        <v>6.5</v>
      </c>
      <c r="F91" t="s">
        <v>814</v>
      </c>
      <c r="G91">
        <v>2005</v>
      </c>
      <c r="H91" t="s">
        <v>224</v>
      </c>
      <c r="I91" t="s">
        <v>1401</v>
      </c>
      <c r="J91">
        <f t="shared" si="4"/>
        <v>-2.5</v>
      </c>
      <c r="K91">
        <f t="shared" si="5"/>
        <v>2.5</v>
      </c>
      <c r="L91" t="s">
        <v>1478</v>
      </c>
    </row>
    <row r="92" spans="1:12" x14ac:dyDescent="0.2">
      <c r="A92">
        <v>91</v>
      </c>
      <c r="B92" t="s">
        <v>733</v>
      </c>
      <c r="C92" t="s">
        <v>22</v>
      </c>
      <c r="D92" s="1">
        <v>1.5</v>
      </c>
      <c r="E92">
        <v>5.5</v>
      </c>
      <c r="F92" t="s">
        <v>32</v>
      </c>
      <c r="G92">
        <v>2007</v>
      </c>
      <c r="H92" t="s">
        <v>224</v>
      </c>
      <c r="I92" t="s">
        <v>1410</v>
      </c>
      <c r="J92">
        <f t="shared" si="4"/>
        <v>-4</v>
      </c>
      <c r="K92">
        <f t="shared" si="5"/>
        <v>4</v>
      </c>
      <c r="L92" t="s">
        <v>1479</v>
      </c>
    </row>
    <row r="93" spans="1:12" x14ac:dyDescent="0.2">
      <c r="A93">
        <v>92</v>
      </c>
      <c r="B93" t="s">
        <v>734</v>
      </c>
      <c r="C93" t="s">
        <v>10</v>
      </c>
      <c r="D93" s="1">
        <v>4</v>
      </c>
      <c r="E93">
        <v>7</v>
      </c>
      <c r="F93" t="s">
        <v>814</v>
      </c>
      <c r="G93">
        <v>1933</v>
      </c>
      <c r="H93" t="s">
        <v>240</v>
      </c>
      <c r="I93" t="s">
        <v>1407</v>
      </c>
      <c r="J93">
        <f t="shared" si="4"/>
        <v>-3</v>
      </c>
      <c r="K93">
        <f t="shared" si="5"/>
        <v>3</v>
      </c>
      <c r="L93" t="s">
        <v>1480</v>
      </c>
    </row>
    <row r="94" spans="1:12" x14ac:dyDescent="0.2">
      <c r="A94">
        <v>93</v>
      </c>
      <c r="B94" t="s">
        <v>735</v>
      </c>
      <c r="C94" t="s">
        <v>10</v>
      </c>
      <c r="D94" s="1">
        <v>4</v>
      </c>
      <c r="E94">
        <v>5.5</v>
      </c>
      <c r="F94" t="s">
        <v>32</v>
      </c>
      <c r="G94">
        <v>1956</v>
      </c>
      <c r="H94" t="s">
        <v>196</v>
      </c>
      <c r="I94" t="s">
        <v>1410</v>
      </c>
      <c r="J94">
        <f t="shared" si="4"/>
        <v>-1.5</v>
      </c>
      <c r="K94">
        <f t="shared" si="5"/>
        <v>1.5</v>
      </c>
      <c r="L94" t="s">
        <v>1481</v>
      </c>
    </row>
    <row r="95" spans="1:12" x14ac:dyDescent="0.2">
      <c r="A95">
        <v>94</v>
      </c>
      <c r="B95" t="s">
        <v>736</v>
      </c>
      <c r="C95" t="s">
        <v>10</v>
      </c>
      <c r="D95" s="1">
        <v>4</v>
      </c>
      <c r="E95">
        <v>6.5</v>
      </c>
      <c r="F95" t="s">
        <v>32</v>
      </c>
      <c r="G95">
        <v>1976</v>
      </c>
      <c r="H95" t="s">
        <v>355</v>
      </c>
      <c r="I95" t="s">
        <v>1401</v>
      </c>
      <c r="J95">
        <f t="shared" si="4"/>
        <v>-2.5</v>
      </c>
      <c r="K95">
        <f t="shared" si="5"/>
        <v>2.5</v>
      </c>
      <c r="L95" t="s">
        <v>1482</v>
      </c>
    </row>
    <row r="96" spans="1:12" x14ac:dyDescent="0.2">
      <c r="A96">
        <v>95</v>
      </c>
      <c r="B96" t="s">
        <v>737</v>
      </c>
      <c r="C96" t="s">
        <v>816</v>
      </c>
      <c r="D96" s="1">
        <v>8</v>
      </c>
      <c r="E96">
        <v>5.5</v>
      </c>
      <c r="F96" t="s">
        <v>32</v>
      </c>
      <c r="G96">
        <v>1979</v>
      </c>
      <c r="H96" t="s">
        <v>129</v>
      </c>
      <c r="I96" t="s">
        <v>1410</v>
      </c>
      <c r="J96">
        <f t="shared" si="4"/>
        <v>2.5</v>
      </c>
      <c r="K96">
        <f t="shared" si="5"/>
        <v>2.5</v>
      </c>
      <c r="L96" t="s">
        <v>1483</v>
      </c>
    </row>
    <row r="97" spans="1:12" x14ac:dyDescent="0.2">
      <c r="A97">
        <v>96</v>
      </c>
      <c r="B97" t="s">
        <v>738</v>
      </c>
      <c r="C97" t="s">
        <v>816</v>
      </c>
      <c r="D97" s="1">
        <v>8</v>
      </c>
      <c r="E97">
        <v>5</v>
      </c>
      <c r="F97" t="s">
        <v>32</v>
      </c>
      <c r="G97">
        <v>1992</v>
      </c>
      <c r="H97" t="s">
        <v>331</v>
      </c>
      <c r="I97" t="s">
        <v>1392</v>
      </c>
      <c r="J97">
        <f t="shared" si="4"/>
        <v>3</v>
      </c>
      <c r="K97">
        <f t="shared" si="5"/>
        <v>3</v>
      </c>
      <c r="L97" t="s">
        <v>1484</v>
      </c>
    </row>
    <row r="98" spans="1:12" x14ac:dyDescent="0.2">
      <c r="A98">
        <v>97</v>
      </c>
      <c r="B98" t="s">
        <v>739</v>
      </c>
      <c r="C98" t="s">
        <v>816</v>
      </c>
      <c r="D98" s="1">
        <v>8</v>
      </c>
      <c r="E98">
        <v>4.5</v>
      </c>
      <c r="F98" t="s">
        <v>814</v>
      </c>
      <c r="G98">
        <v>1993</v>
      </c>
      <c r="H98" t="s">
        <v>240</v>
      </c>
      <c r="I98" t="s">
        <v>1387</v>
      </c>
      <c r="J98">
        <f t="shared" ref="J98:J104" si="6">SUM(D98-E98)</f>
        <v>3.5</v>
      </c>
      <c r="K98">
        <f t="shared" ref="K98:K104" si="7">ABS(J98)</f>
        <v>3.5</v>
      </c>
      <c r="L98" t="s">
        <v>1485</v>
      </c>
    </row>
    <row r="99" spans="1:12" x14ac:dyDescent="0.2">
      <c r="A99">
        <v>98</v>
      </c>
      <c r="B99" t="s">
        <v>740</v>
      </c>
      <c r="C99" t="s">
        <v>10</v>
      </c>
      <c r="D99" s="1">
        <v>4</v>
      </c>
      <c r="E99">
        <v>6.5</v>
      </c>
      <c r="F99" t="s">
        <v>32</v>
      </c>
      <c r="G99">
        <v>1998</v>
      </c>
      <c r="H99" t="s">
        <v>349</v>
      </c>
      <c r="I99" t="s">
        <v>1401</v>
      </c>
      <c r="J99">
        <f t="shared" si="6"/>
        <v>-2.5</v>
      </c>
      <c r="K99">
        <f t="shared" si="7"/>
        <v>2.5</v>
      </c>
      <c r="L99" t="s">
        <v>1486</v>
      </c>
    </row>
    <row r="100" spans="1:12" x14ac:dyDescent="0.2">
      <c r="A100">
        <v>99</v>
      </c>
      <c r="B100" t="s">
        <v>741</v>
      </c>
      <c r="C100" t="s">
        <v>10</v>
      </c>
      <c r="D100" s="1">
        <v>4</v>
      </c>
      <c r="E100">
        <v>5.5</v>
      </c>
      <c r="F100" t="s">
        <v>32</v>
      </c>
      <c r="G100">
        <v>2001</v>
      </c>
      <c r="H100" t="s">
        <v>353</v>
      </c>
      <c r="I100" t="s">
        <v>1410</v>
      </c>
      <c r="J100">
        <f t="shared" si="6"/>
        <v>-1.5</v>
      </c>
      <c r="K100">
        <f t="shared" si="7"/>
        <v>1.5</v>
      </c>
      <c r="L100" t="s">
        <v>1487</v>
      </c>
    </row>
    <row r="101" spans="1:12" x14ac:dyDescent="0.2">
      <c r="A101">
        <v>100</v>
      </c>
      <c r="B101" t="s">
        <v>742</v>
      </c>
      <c r="C101" t="s">
        <v>10</v>
      </c>
      <c r="D101" s="1">
        <v>4</v>
      </c>
      <c r="E101">
        <v>5</v>
      </c>
      <c r="F101" t="s">
        <v>32</v>
      </c>
      <c r="G101">
        <v>2006</v>
      </c>
      <c r="H101" t="s">
        <v>224</v>
      </c>
      <c r="I101" t="s">
        <v>1392</v>
      </c>
      <c r="J101">
        <f t="shared" si="6"/>
        <v>-1</v>
      </c>
      <c r="K101">
        <f t="shared" si="7"/>
        <v>1</v>
      </c>
      <c r="L101" t="s">
        <v>1488</v>
      </c>
    </row>
    <row r="102" spans="1:12" x14ac:dyDescent="0.2">
      <c r="A102">
        <v>101</v>
      </c>
      <c r="B102" t="s">
        <v>743</v>
      </c>
      <c r="C102" t="s">
        <v>10</v>
      </c>
      <c r="D102" s="1">
        <v>4</v>
      </c>
      <c r="E102">
        <v>5</v>
      </c>
      <c r="F102" t="s">
        <v>32</v>
      </c>
      <c r="G102">
        <v>2007</v>
      </c>
      <c r="H102" t="s">
        <v>395</v>
      </c>
      <c r="I102" t="s">
        <v>1392</v>
      </c>
      <c r="J102">
        <f t="shared" si="6"/>
        <v>-1</v>
      </c>
      <c r="K102">
        <f t="shared" si="7"/>
        <v>1</v>
      </c>
      <c r="L102" t="s">
        <v>1489</v>
      </c>
    </row>
    <row r="103" spans="1:12" x14ac:dyDescent="0.2">
      <c r="A103">
        <v>102</v>
      </c>
      <c r="B103" t="s">
        <v>744</v>
      </c>
      <c r="C103" t="s">
        <v>10</v>
      </c>
      <c r="D103" s="1">
        <v>4</v>
      </c>
      <c r="E103">
        <v>5.5</v>
      </c>
      <c r="F103" t="s">
        <v>32</v>
      </c>
      <c r="G103">
        <v>2009</v>
      </c>
      <c r="H103" t="s">
        <v>371</v>
      </c>
      <c r="I103" t="s">
        <v>1410</v>
      </c>
      <c r="J103">
        <f t="shared" si="6"/>
        <v>-1.5</v>
      </c>
      <c r="K103">
        <f t="shared" si="7"/>
        <v>1.5</v>
      </c>
      <c r="L103" t="s">
        <v>1490</v>
      </c>
    </row>
    <row r="104" spans="1:12" x14ac:dyDescent="0.2">
      <c r="A104">
        <v>103</v>
      </c>
      <c r="B104" t="s">
        <v>745</v>
      </c>
      <c r="C104" t="s">
        <v>10</v>
      </c>
      <c r="D104" s="1">
        <v>4</v>
      </c>
      <c r="E104">
        <v>5.5</v>
      </c>
      <c r="F104" t="s">
        <v>32</v>
      </c>
      <c r="G104">
        <v>1970</v>
      </c>
      <c r="H104" t="s">
        <v>74</v>
      </c>
      <c r="I104" t="s">
        <v>1410</v>
      </c>
      <c r="J104">
        <f t="shared" si="6"/>
        <v>-1.5</v>
      </c>
      <c r="K104">
        <f t="shared" si="7"/>
        <v>1.5</v>
      </c>
      <c r="L104" t="s">
        <v>1435</v>
      </c>
    </row>
    <row r="105" spans="1:12" x14ac:dyDescent="0.2">
      <c r="C105" t="s">
        <v>1499</v>
      </c>
      <c r="D105" s="18">
        <f>AVERAGE(D2:D104)</f>
        <v>4.5147058823529411</v>
      </c>
      <c r="E105" s="15">
        <f>AVERAGE(E2:E104)</f>
        <v>5.1650485436893208</v>
      </c>
      <c r="J105" t="s">
        <v>1497</v>
      </c>
      <c r="K105" s="15">
        <f>AVERAGE(K2:K104)</f>
        <v>2.6067961165048543</v>
      </c>
    </row>
    <row r="106" spans="1:12" x14ac:dyDescent="0.2">
      <c r="C106" t="s">
        <v>1500</v>
      </c>
      <c r="D106" s="18">
        <f>MIN(D$2:D$104)</f>
        <v>1</v>
      </c>
      <c r="E106" s="15">
        <f>MIN(E$2:E$104)</f>
        <v>2</v>
      </c>
      <c r="J106" s="7" t="s">
        <v>1498</v>
      </c>
      <c r="K106" s="15">
        <f>AVERAGE(K3:K18:J81:J103)</f>
        <v>0.97524752475247523</v>
      </c>
    </row>
    <row r="107" spans="1:12" x14ac:dyDescent="0.2">
      <c r="C107" t="s">
        <v>1501</v>
      </c>
      <c r="D107" s="18">
        <f>MAX(D$2:D$104)</f>
        <v>15</v>
      </c>
      <c r="E107" s="15">
        <f>MAX(E$2:E$104)</f>
        <v>10</v>
      </c>
      <c r="K107" s="15">
        <f>AVERAGE(K19:K80)</f>
        <v>2.717741935483871</v>
      </c>
    </row>
  </sheetData>
  <sortState xmlns:xlrd2="http://schemas.microsoft.com/office/spreadsheetml/2017/richdata2" ref="A2:L104">
    <sortCondition ref="A2:A10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18</vt:i4>
      </vt:variant>
    </vt:vector>
  </HeadingPairs>
  <TitlesOfParts>
    <vt:vector size="23" baseType="lpstr">
      <vt:lpstr>Data_030520</vt:lpstr>
      <vt:lpstr>Metric_Definitions</vt:lpstr>
      <vt:lpstr>Metric_Codes</vt:lpstr>
      <vt:lpstr>Countries</vt:lpstr>
      <vt:lpstr>Manual - Ai Comparison</vt:lpstr>
      <vt:lpstr>adequacy</vt:lpstr>
      <vt:lpstr>authority</vt:lpstr>
      <vt:lpstr>confidence</vt:lpstr>
      <vt:lpstr>decision</vt:lpstr>
      <vt:lpstr>experience</vt:lpstr>
      <vt:lpstr>Insurance</vt:lpstr>
      <vt:lpstr>Insurance_Role</vt:lpstr>
      <vt:lpstr>Magnitude</vt:lpstr>
      <vt:lpstr>participation</vt:lpstr>
      <vt:lpstr>Preparedness</vt:lpstr>
      <vt:lpstr>Primary</vt:lpstr>
      <vt:lpstr>quality</vt:lpstr>
      <vt:lpstr>Recovery_Insurance</vt:lpstr>
      <vt:lpstr>resource_source</vt:lpstr>
      <vt:lpstr>resource_speed</vt:lpstr>
      <vt:lpstr>Scale</vt:lpstr>
      <vt:lpstr>severity</vt:lpstr>
      <vt:lpstr>speed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Oliver Carpenter</dc:creator>
  <cp:lastModifiedBy>Steve Platt</cp:lastModifiedBy>
  <cp:lastPrinted>2019-03-15T15:37:36Z</cp:lastPrinted>
  <dcterms:created xsi:type="dcterms:W3CDTF">2019-02-22T10:31:42Z</dcterms:created>
  <dcterms:modified xsi:type="dcterms:W3CDTF">2026-01-06T16:12:58Z</dcterms:modified>
</cp:coreProperties>
</file>